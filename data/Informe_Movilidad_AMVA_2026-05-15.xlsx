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7" documentId="11_F1612A7F3051595AA6CE85D0E7C8497F2D1BCFE9" xr6:coauthVersionLast="47" xr6:coauthVersionMax="47" xr10:uidLastSave="{E984EBA4-0B84-4D29-9099-0810D96F68CB}"/>
  <bookViews>
    <workbookView xWindow="-108" yWindow="-108" windowWidth="23256" windowHeight="12456" tabRatio="910" firstSheet="4" activeTab="4" xr2:uid="{00000000-000D-0000-FFFF-FFFF00000000}"/>
  </bookViews>
  <sheets>
    <sheet name="Portada" sheetId="1" r:id="rId1"/>
    <sheet name="Filtros Aplicados" sheetId="2" r:id="rId2"/>
    <sheet name="KPIs Generales" sheetId="3" r:id="rId3"/>
    <sheet name="KPIs Motorización" sheetId="4" r:id="rId4"/>
    <sheet name="Macrozonas OD" sheetId="5" r:id="rId5"/>
    <sheet name="Distribución Horaria" sheetId="6" r:id="rId6"/>
    <sheet name="Duración de Viajes" sheetId="7" r:id="rId7"/>
    <sheet name="Frecuencia de Viajes" sheetId="8" r:id="rId8"/>
    <sheet name="Viajes por Estrato" sheetId="9" r:id="rId9"/>
    <sheet name="Tiempo por Modo" sheetId="10" r:id="rId10"/>
    <sheet name="Modo Principal" sheetId="11" r:id="rId11"/>
    <sheet name="Motivo de Viaje" sheetId="12" r:id="rId12"/>
    <sheet name="Etapas del Viaje" sheetId="13" r:id="rId13"/>
    <sheet name="Grupos Poblacionales" sheetId="14" r:id="rId14"/>
    <sheet name="Tipología Vehicular" sheetId="15" r:id="rId15"/>
    <sheet name="Cantidad Vehículos" sheetId="16" r:id="rId16"/>
    <sheet name="Modelo Vehicular" sheetId="17" r:id="rId17"/>
    <sheet name="Vehículos por Estrato" sheetId="18" r:id="rId18"/>
    <sheet name="Socio Edad" sheetId="19" r:id="rId19"/>
    <sheet name="Socio Género" sheetId="20" r:id="rId20"/>
    <sheet name="Socio Ocupación" sheetId="21" r:id="rId21"/>
    <sheet name="Socio Escolaridad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Esta fila incluye los viajes que en alguna de las etapas no registraron de manera precisa el punto específico de origen y destino y, en consecuencia, no se logra asociar de manera exacta una macrozona de origen y/o de destino a dicho punto.</t>
        </r>
      </text>
    </comment>
    <comment ref="B9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Esta fila incluye los viajes que en alguna de las etapas no registraron de manera precisa el punto específico de origen y destino y, en consecuencia, no se logra asociar de manera exacta una macrozona de origen y/o de destino a dicho punto.</t>
        </r>
      </text>
    </comment>
  </commentList>
</comments>
</file>

<file path=xl/sharedStrings.xml><?xml version="1.0" encoding="utf-8"?>
<sst xmlns="http://schemas.openxmlformats.org/spreadsheetml/2006/main" count="530" uniqueCount="270">
  <si>
    <t>Encuestas Origen - Destino 2025</t>
  </si>
  <si>
    <t>Informe de Indicadores de Movilidad</t>
  </si>
  <si>
    <t>⚙  Parámetros del informe</t>
  </si>
  <si>
    <t>Fecha de generación</t>
  </si>
  <si>
    <t>14 de mayo de 2026 a las 9:51 p. m.</t>
  </si>
  <si>
    <t>Municipio</t>
  </si>
  <si>
    <t>AMVA General</t>
  </si>
  <si>
    <t>Tipo de zona</t>
  </si>
  <si>
    <t>Todos</t>
  </si>
  <si>
    <t>Macrozona</t>
  </si>
  <si>
    <t>Todas</t>
  </si>
  <si>
    <t>Modo de análisis</t>
  </si>
  <si>
    <t>Agrupar</t>
  </si>
  <si>
    <t>Variable de comp.</t>
  </si>
  <si>
    <t>Edad</t>
  </si>
  <si>
    <t>📋  Contenido del informe</t>
  </si>
  <si>
    <t># de Hoja</t>
  </si>
  <si>
    <t>Sección</t>
  </si>
  <si>
    <t>Estadísticas Generales</t>
  </si>
  <si>
    <t>Indicadores de Motorización</t>
  </si>
  <si>
    <t>Distribución Geográfica (Origen - Destino)</t>
  </si>
  <si>
    <t>Distribución de Viajes por Hora de Inicio</t>
  </si>
  <si>
    <t>Distribución de Viajes según Duración</t>
  </si>
  <si>
    <t>Frecuencia del Viaje</t>
  </si>
  <si>
    <t>Viajes Diarios según Estrato Socioeconómico</t>
  </si>
  <si>
    <t>Tiempo Promedio de Viaje por Modo de Transporte</t>
  </si>
  <si>
    <t>Modo Principal de Transporte</t>
  </si>
  <si>
    <t>Motivo del Viaje</t>
  </si>
  <si>
    <t>Etapas del Viaje</t>
  </si>
  <si>
    <t>Grupos Poblacionales de Interés</t>
  </si>
  <si>
    <t>Tipología de Vehículos</t>
  </si>
  <si>
    <t>Cantidad de Vehículos por Hogar</t>
  </si>
  <si>
    <t>Modelo de Vehículos</t>
  </si>
  <si>
    <t>Vehículos por Estrato Socioeconómico</t>
  </si>
  <si>
    <t>Caracterización Socioeconómica — Edad</t>
  </si>
  <si>
    <t>Caracterización Socioeconómica — Género</t>
  </si>
  <si>
    <t>Caracterización Socioeconómica — Ocupación</t>
  </si>
  <si>
    <t>Caracterización Socioeconómica — Escolaridad</t>
  </si>
  <si>
    <t>Filtros aplicados al informe</t>
  </si>
  <si>
    <t>Parámetro</t>
  </si>
  <si>
    <t>Valor</t>
  </si>
  <si>
    <t>Valores comparados</t>
  </si>
  <si>
    <t>N/A</t>
  </si>
  <si>
    <t>Indicador</t>
  </si>
  <si>
    <t>Total de viajes en un día hábil</t>
  </si>
  <si>
    <t>6.490.299</t>
  </si>
  <si>
    <t>% de personas que no viajan</t>
  </si>
  <si>
    <t>31,59 %</t>
  </si>
  <si>
    <t>Tiempo promedio de viaje</t>
  </si>
  <si>
    <t>39,28 min</t>
  </si>
  <si>
    <t>Viajes diarios en modos privados</t>
  </si>
  <si>
    <t>1.879.454</t>
  </si>
  <si>
    <t>Viajes diarios en modos no motorizados</t>
  </si>
  <si>
    <t>2.179.415</t>
  </si>
  <si>
    <t>Viajes diarios en modos públicos</t>
  </si>
  <si>
    <t>2.196.961</t>
  </si>
  <si>
    <t>Viajes diarios promedio por persona</t>
  </si>
  <si>
    <t>1,6</t>
  </si>
  <si>
    <t>Viajes diarios promedio por personas que realizan viajes</t>
  </si>
  <si>
    <t>2,34</t>
  </si>
  <si>
    <t>Cantidad total de vehículos propios (toda tipología)</t>
  </si>
  <si>
    <t>815.414</t>
  </si>
  <si>
    <t>Cantidad promedio de vehículos por hogar</t>
  </si>
  <si>
    <t>0,5</t>
  </si>
  <si>
    <t>% de vehículos que operan con tecnologías limpias</t>
  </si>
  <si>
    <t>5,04 %</t>
  </si>
  <si>
    <t>Autos por 1000 habitantes</t>
  </si>
  <si>
    <t>67,13</t>
  </si>
  <si>
    <t>Motocicletas por 1000 habitantes</t>
  </si>
  <si>
    <t>120,5</t>
  </si>
  <si>
    <t>Bicicletas por 1000 habitantes</t>
  </si>
  <si>
    <t>10,46</t>
  </si>
  <si>
    <t>▶  Macrozonas de Origen</t>
  </si>
  <si>
    <t>Viajes</t>
  </si>
  <si>
    <t>% del total</t>
  </si>
  <si>
    <t>Medellín</t>
  </si>
  <si>
    <t>La Candelaria</t>
  </si>
  <si>
    <t>El Poblado</t>
  </si>
  <si>
    <t>Robledo</t>
  </si>
  <si>
    <t>Belén</t>
  </si>
  <si>
    <t>Laureles-Estadio</t>
  </si>
  <si>
    <t>Buenos Aires</t>
  </si>
  <si>
    <t>Manrique</t>
  </si>
  <si>
    <t>San Javier</t>
  </si>
  <si>
    <t>Aranjuez</t>
  </si>
  <si>
    <t>Castilla</t>
  </si>
  <si>
    <t>Doce de Octubre</t>
  </si>
  <si>
    <t>Popular</t>
  </si>
  <si>
    <t>La América</t>
  </si>
  <si>
    <t>Sabaneta</t>
  </si>
  <si>
    <t>Urbana Sabaneta</t>
  </si>
  <si>
    <t>Bello</t>
  </si>
  <si>
    <t>Comuna 04</t>
  </si>
  <si>
    <t>Villa Hermosa</t>
  </si>
  <si>
    <t>Guayabal</t>
  </si>
  <si>
    <t>Itagüí</t>
  </si>
  <si>
    <t>Comuna 01</t>
  </si>
  <si>
    <t>Envigado</t>
  </si>
  <si>
    <t>Zona 09</t>
  </si>
  <si>
    <t>Santa Cruz</t>
  </si>
  <si>
    <t>Caldas</t>
  </si>
  <si>
    <t>Urbana Caldas</t>
  </si>
  <si>
    <t>La Estrella</t>
  </si>
  <si>
    <t>Urbana La Estrella</t>
  </si>
  <si>
    <t>Comuna 08</t>
  </si>
  <si>
    <t>Comuna 05</t>
  </si>
  <si>
    <t>Comuna 02</t>
  </si>
  <si>
    <t>Comuna 03</t>
  </si>
  <si>
    <t>Corregimiento San Cristóbal</t>
  </si>
  <si>
    <t>Comuna 06</t>
  </si>
  <si>
    <t>Copacabana</t>
  </si>
  <si>
    <t>Urbana Copacabana</t>
  </si>
  <si>
    <t>Corregimiento San Antonio de Prado</t>
  </si>
  <si>
    <t>Zona 07</t>
  </si>
  <si>
    <t>Comuna 11</t>
  </si>
  <si>
    <t>Sin especificar</t>
  </si>
  <si>
    <t>Girardota</t>
  </si>
  <si>
    <t>Urbana Girardota</t>
  </si>
  <si>
    <t>Barbosa</t>
  </si>
  <si>
    <t>Urbana Barbosa</t>
  </si>
  <si>
    <t>Zona 06</t>
  </si>
  <si>
    <t>Zona 05</t>
  </si>
  <si>
    <t>Comuna 07</t>
  </si>
  <si>
    <t>Zona 02</t>
  </si>
  <si>
    <t>Rural Barbosa</t>
  </si>
  <si>
    <t>Rural Itagüí</t>
  </si>
  <si>
    <t>Zona 03</t>
  </si>
  <si>
    <t>Rural Copacabana</t>
  </si>
  <si>
    <t>Zona 08</t>
  </si>
  <si>
    <t>Rural Girardota</t>
  </si>
  <si>
    <t>Zona 01</t>
  </si>
  <si>
    <t>Comuna 10</t>
  </si>
  <si>
    <t>Rural Sabaneta</t>
  </si>
  <si>
    <t>Rural Caldas</t>
  </si>
  <si>
    <t>Rural La Estrella</t>
  </si>
  <si>
    <t>Corregimiento Santa Elena</t>
  </si>
  <si>
    <t>Comuna 12</t>
  </si>
  <si>
    <t>Rural Bello</t>
  </si>
  <si>
    <t>Corregimiento Altavista</t>
  </si>
  <si>
    <t>Rural 02</t>
  </si>
  <si>
    <t>Zona 04</t>
  </si>
  <si>
    <t>Rural 01</t>
  </si>
  <si>
    <t>Rural 03</t>
  </si>
  <si>
    <t>Comuna 09</t>
  </si>
  <si>
    <t>Corregimiento San Sebastián de Palmitas</t>
  </si>
  <si>
    <t>Rural 04</t>
  </si>
  <si>
    <t>▶  Macrozonas de Destino</t>
  </si>
  <si>
    <t>Hora</t>
  </si>
  <si>
    <t>Transporte Informal</t>
  </si>
  <si>
    <t>Transporte Público</t>
  </si>
  <si>
    <t>Transporte Privado</t>
  </si>
  <si>
    <t>No Motorizado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</si>
  <si>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</si>
  <si>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</si>
  <si>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</si>
  <si>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</si>
  <si>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</si>
  <si>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</si>
  <si>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</si>
  <si>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</si>
  <si>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</si>
  <si>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</si>
  <si>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</si>
  <si>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</si>
  <si>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</si>
  <si>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</si>
  <si>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</si>
  <si>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</si>
  <si>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</si>
  <si>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</si>
  <si>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</si>
  <si>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</si>
  <si>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</si>
  <si>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</si>
  <si>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</si>
  <si>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</si>
  <si>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Duración (minutos)</t>
  </si>
  <si>
    <t>% de viajes</t>
  </si>
  <si>
    <t>0-15</t>
  </si>
  <si>
    <t>16-30</t>
  </si>
  <si>
    <t>31-45</t>
  </si>
  <si>
    <t>46-60</t>
  </si>
  <si>
    <t>61-90</t>
  </si>
  <si>
    <t>91-120</t>
  </si>
  <si>
    <t>120 o más</t>
  </si>
  <si>
    <t>Frecuencia</t>
  </si>
  <si>
    <t>Todos los días</t>
  </si>
  <si>
    <t>Entre 2 y 6 días a la semana</t>
  </si>
  <si>
    <t>Solo un día a la semana</t>
  </si>
  <si>
    <t>Es un viaje eventual</t>
  </si>
  <si>
    <t>Estrato socioeconómico</t>
  </si>
  <si>
    <t>Estrato 1</t>
  </si>
  <si>
    <t>Estrato 2</t>
  </si>
  <si>
    <t>Estrato 3</t>
  </si>
  <si>
    <t>Estrato 4</t>
  </si>
  <si>
    <t>Estrato 5</t>
  </si>
  <si>
    <t>Estrato 6</t>
  </si>
  <si>
    <t>Modo de transporte</t>
  </si>
  <si>
    <t>Tiempo promedio (min)</t>
  </si>
  <si>
    <t>Transporte público</t>
  </si>
  <si>
    <t>Transporte privado</t>
  </si>
  <si>
    <t>Transporte informal</t>
  </si>
  <si>
    <t>No motorizado</t>
  </si>
  <si>
    <t>A pie</t>
  </si>
  <si>
    <t>Masivo</t>
  </si>
  <si>
    <t>TPC</t>
  </si>
  <si>
    <t>Motocicleta</t>
  </si>
  <si>
    <t>Automóvil</t>
  </si>
  <si>
    <t>Taxi</t>
  </si>
  <si>
    <t>Bicicleta</t>
  </si>
  <si>
    <t>Otros</t>
  </si>
  <si>
    <t>Motivo</t>
  </si>
  <si>
    <t>Trabajo</t>
  </si>
  <si>
    <t>Estudio</t>
  </si>
  <si>
    <t>Regreso al hogar</t>
  </si>
  <si>
    <t>Ocio</t>
  </si>
  <si>
    <t>Otro</t>
  </si>
  <si>
    <t>Número de etapas</t>
  </si>
  <si>
    <t>Una etapa</t>
  </si>
  <si>
    <t>Dos etapas</t>
  </si>
  <si>
    <t>Tres etapas</t>
  </si>
  <si>
    <t>4 o más etapas</t>
  </si>
  <si>
    <t>Grupo poblacional</t>
  </si>
  <si>
    <t>% de personas que sí viajan</t>
  </si>
  <si>
    <t>Cuidador</t>
  </si>
  <si>
    <t>Extranjero (residente permanente)</t>
  </si>
  <si>
    <t>Madre cabeza de familia</t>
  </si>
  <si>
    <t>Persona en situación de discapacidad</t>
  </si>
  <si>
    <t>Ninguna</t>
  </si>
  <si>
    <t>Tipo de vehículo</t>
  </si>
  <si>
    <t>% de vehículos</t>
  </si>
  <si>
    <t>Camioneta</t>
  </si>
  <si>
    <t>Cantidad de vehículos</t>
  </si>
  <si>
    <t>% de hogares</t>
  </si>
  <si>
    <t>Sin vehículo</t>
  </si>
  <si>
    <t>Un vehículo</t>
  </si>
  <si>
    <t>Dos o más vehículos</t>
  </si>
  <si>
    <t>Año del modelo</t>
  </si>
  <si>
    <t>Menor de 5 años</t>
  </si>
  <si>
    <t>5 a 10 años</t>
  </si>
  <si>
    <t>11 a 15 años</t>
  </si>
  <si>
    <t>16 años o más</t>
  </si>
  <si>
    <t>NS/NR</t>
  </si>
  <si>
    <t>Grupos de edad</t>
  </si>
  <si>
    <t>% de personas encuestadas</t>
  </si>
  <si>
    <t>5-11</t>
  </si>
  <si>
    <t>12-17</t>
  </si>
  <si>
    <t>18-25</t>
  </si>
  <si>
    <t>26-35</t>
  </si>
  <si>
    <t>36-45</t>
  </si>
  <si>
    <t>60+</t>
  </si>
  <si>
    <t>Género</t>
  </si>
  <si>
    <t>Hombre</t>
  </si>
  <si>
    <t>Mujer</t>
  </si>
  <si>
    <t>Ocupación</t>
  </si>
  <si>
    <t>Trabajador</t>
  </si>
  <si>
    <t>Estudiante</t>
  </si>
  <si>
    <t>Ama de casa</t>
  </si>
  <si>
    <t>Desempleado</t>
  </si>
  <si>
    <t>Jubilado</t>
  </si>
  <si>
    <t>Nivel de escolaridad</t>
  </si>
  <si>
    <t>Primaria</t>
  </si>
  <si>
    <t>Noveno Grado</t>
  </si>
  <si>
    <t>Bachillerato</t>
  </si>
  <si>
    <t>Educación No formal</t>
  </si>
  <si>
    <t>Técnico</t>
  </si>
  <si>
    <t>Tecnológico</t>
  </si>
  <si>
    <t>Universitario</t>
  </si>
  <si>
    <t>Posgrado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</si>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</sst>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D1FAE5"/>
      <name val="Calibri"/>
    </font>
    <font>
      <b/>
      <sz val="13"/>
      <color rgb="FF1B3A2D"/>
      <name val="Calibri"/>
    </font>
    <font>
      <b/>
      <sz val="10"/>
      <color rgb="FF1B3A2D"/>
      <name val="Calibri"/>
    </font>
    <font>
      <sz val="10"/>
      <color rgb="FF1E293B"/>
      <name val="Calibri"/>
    </font>
    <font>
      <b/>
      <sz val="10"/>
      <color rgb="FFFFFFFF"/>
      <name val="Calibri"/>
    </font>
    <font>
      <b/>
      <sz val="10"/>
      <color rgb="FF7CB92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E293B"/>
      <name val="Calibri"/>
    </font>
    <font>
      <b/>
      <sz val="13"/>
      <color rgb="FFFFFFFF"/>
      <name val="Calibri"/>
    </font>
    <font>
      <b/>
      <sz val="11"/>
      <color rgb="FF1E293B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3A2D"/>
      </patternFill>
    </fill>
    <fill>
      <patternFill patternType="solid">
        <fgColor rgb="FF339933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7CB928"/>
      </patternFill>
    </fill>
    <fill>
      <patternFill patternType="solid">
        <fgColor rgb="FFF0FDF4"/>
      </patternFill>
    </fill>
    <fill>
      <patternFill patternType="solid">
        <fgColor rgb="FFFF9000"/>
      </patternFill>
    </fill>
    <fill>
      <patternFill patternType="solid">
        <fgColor rgb="FF00A7F4"/>
      </patternFill>
    </fill>
    <fill>
      <patternFill patternType="solid">
        <fgColor rgb="FFE770D3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7CB92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39933"/>
      </left>
      <right style="medium">
        <color rgb="FF339933"/>
      </right>
      <top style="medium">
        <color rgb="FF339933"/>
      </top>
      <bottom style="medium">
        <color rgb="FF33993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right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20000</xdr:colOff>
      <xdr:row>0</xdr:row>
      <xdr:rowOff>28000</xdr:rowOff>
    </xdr:from>
    <xdr:ext cx="95250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topLeftCell="A18" workbookViewId="0"/>
  </sheetViews>
  <sheetFormatPr baseColWidth="10" defaultColWidth="8.88671875" defaultRowHeight="14.4" x14ac:dyDescent="0.3"/>
  <cols>
    <col min="1" max="1" width="4" customWidth="1"/>
    <col min="2" max="2" width="28" customWidth="1"/>
    <col min="3" max="3" width="55" customWidth="1"/>
    <col min="4" max="4" width="20" customWidth="1"/>
  </cols>
  <sheetData>
    <row r="1" spans="1:4" ht="13.95" customHeight="1" x14ac:dyDescent="0.3">
      <c r="A1" s="1"/>
      <c r="B1" s="1"/>
      <c r="C1" s="1"/>
      <c r="D1" s="1"/>
    </row>
    <row r="2" spans="1:4" ht="13.95" customHeight="1" x14ac:dyDescent="0.3">
      <c r="A2" s="1"/>
      <c r="B2" s="1"/>
      <c r="C2" s="1"/>
      <c r="D2" s="1"/>
    </row>
    <row r="3" spans="1:4" ht="28.05" customHeight="1" x14ac:dyDescent="0.3">
      <c r="A3" s="1"/>
      <c r="B3" s="25" t="s">
        <v>0</v>
      </c>
      <c r="C3" s="25"/>
      <c r="D3" s="25"/>
    </row>
    <row r="4" spans="1:4" ht="13.95" customHeight="1" x14ac:dyDescent="0.3">
      <c r="A4" s="1"/>
      <c r="B4" s="26" t="s">
        <v>1</v>
      </c>
      <c r="C4" s="26"/>
      <c r="D4" s="26"/>
    </row>
    <row r="5" spans="1:4" ht="13.95" customHeight="1" x14ac:dyDescent="0.3">
      <c r="A5" s="1"/>
      <c r="B5" s="1"/>
      <c r="C5" s="1"/>
      <c r="D5" s="1"/>
    </row>
    <row r="6" spans="1:4" ht="4.95" customHeight="1" x14ac:dyDescent="0.3">
      <c r="A6" s="2"/>
      <c r="B6" s="2"/>
      <c r="C6" s="2"/>
      <c r="D6" s="2"/>
    </row>
    <row r="7" spans="1:4" ht="7.95" customHeight="1" x14ac:dyDescent="0.3"/>
    <row r="8" spans="1:4" ht="22.05" customHeight="1" x14ac:dyDescent="0.3">
      <c r="B8" s="27" t="s">
        <v>2</v>
      </c>
      <c r="C8" s="27"/>
      <c r="D8" s="27"/>
    </row>
    <row r="9" spans="1:4" ht="4.95" customHeight="1" x14ac:dyDescent="0.3"/>
    <row r="10" spans="1:4" ht="18" customHeight="1" x14ac:dyDescent="0.3">
      <c r="B10" s="3" t="s">
        <v>3</v>
      </c>
      <c r="C10" s="4" t="s">
        <v>4</v>
      </c>
    </row>
    <row r="11" spans="1:4" ht="18" customHeight="1" x14ac:dyDescent="0.3">
      <c r="B11" s="5" t="s">
        <v>5</v>
      </c>
      <c r="C11" s="6" t="s">
        <v>6</v>
      </c>
    </row>
    <row r="12" spans="1:4" ht="18" customHeight="1" x14ac:dyDescent="0.3">
      <c r="B12" s="3" t="s">
        <v>7</v>
      </c>
      <c r="C12" s="4" t="s">
        <v>8</v>
      </c>
    </row>
    <row r="13" spans="1:4" ht="18" customHeight="1" x14ac:dyDescent="0.3">
      <c r="B13" s="5" t="s">
        <v>9</v>
      </c>
      <c r="C13" s="6" t="s">
        <v>10</v>
      </c>
    </row>
    <row r="14" spans="1:4" ht="18" customHeight="1" x14ac:dyDescent="0.3">
      <c r="B14" s="3" t="s">
        <v>11</v>
      </c>
      <c r="C14" s="4" t="s">
        <v>12</v>
      </c>
    </row>
    <row r="15" spans="1:4" ht="18" customHeight="1" x14ac:dyDescent="0.3">
      <c r="B15" s="5" t="s">
        <v>13</v>
      </c>
      <c r="C15" s="6" t="s">
        <v>14</v>
      </c>
    </row>
    <row r="18" spans="2:4" ht="7.95" customHeight="1" x14ac:dyDescent="0.3"/>
    <row r="19" spans="2:4" ht="22.05" customHeight="1" x14ac:dyDescent="0.3">
      <c r="B19" s="27" t="s">
        <v>15</v>
      </c>
      <c r="C19" s="27"/>
      <c r="D19" s="27"/>
    </row>
    <row r="20" spans="2:4" ht="4.95" customHeight="1" x14ac:dyDescent="0.3"/>
    <row r="21" spans="2:4" ht="18" customHeight="1" x14ac:dyDescent="0.3">
      <c r="B21" s="7" t="s">
        <v>16</v>
      </c>
      <c r="C21" s="7" t="s">
        <v>17</v>
      </c>
    </row>
    <row r="22" spans="2:4" ht="16.05" customHeight="1" x14ac:dyDescent="0.3">
      <c r="B22" s="8">
        <v>3</v>
      </c>
      <c r="C22" s="9" t="s">
        <v>18</v>
      </c>
    </row>
    <row r="23" spans="2:4" ht="16.05" customHeight="1" x14ac:dyDescent="0.3">
      <c r="B23" s="10">
        <v>4</v>
      </c>
      <c r="C23" s="6" t="s">
        <v>19</v>
      </c>
    </row>
    <row r="24" spans="2:4" ht="16.05" customHeight="1" x14ac:dyDescent="0.3">
      <c r="B24" s="8">
        <v>5</v>
      </c>
      <c r="C24" s="9" t="s">
        <v>20</v>
      </c>
    </row>
    <row r="25" spans="2:4" ht="16.05" customHeight="1" x14ac:dyDescent="0.3">
      <c r="B25" s="10">
        <v>6</v>
      </c>
      <c r="C25" s="6" t="s">
        <v>21</v>
      </c>
    </row>
    <row r="26" spans="2:4" ht="16.05" customHeight="1" x14ac:dyDescent="0.3">
      <c r="B26" s="8">
        <v>7</v>
      </c>
      <c r="C26" s="9" t="s">
        <v>22</v>
      </c>
    </row>
    <row r="27" spans="2:4" ht="16.05" customHeight="1" x14ac:dyDescent="0.3">
      <c r="B27" s="10">
        <v>8</v>
      </c>
      <c r="C27" s="6" t="s">
        <v>23</v>
      </c>
    </row>
    <row r="28" spans="2:4" ht="16.05" customHeight="1" x14ac:dyDescent="0.3">
      <c r="B28" s="8">
        <v>9</v>
      </c>
      <c r="C28" s="9" t="s">
        <v>24</v>
      </c>
    </row>
    <row r="29" spans="2:4" ht="16.05" customHeight="1" x14ac:dyDescent="0.3">
      <c r="B29" s="10">
        <v>10</v>
      </c>
      <c r="C29" s="6" t="s">
        <v>25</v>
      </c>
    </row>
    <row r="30" spans="2:4" ht="16.05" customHeight="1" x14ac:dyDescent="0.3">
      <c r="B30" s="8">
        <v>11</v>
      </c>
      <c r="C30" s="9" t="s">
        <v>26</v>
      </c>
    </row>
    <row r="31" spans="2:4" ht="16.05" customHeight="1" x14ac:dyDescent="0.3">
      <c r="B31" s="10">
        <v>12</v>
      </c>
      <c r="C31" s="6" t="s">
        <v>27</v>
      </c>
    </row>
    <row r="32" spans="2:4" ht="16.05" customHeight="1" x14ac:dyDescent="0.3">
      <c r="B32" s="8">
        <v>13</v>
      </c>
      <c r="C32" s="9" t="s">
        <v>28</v>
      </c>
    </row>
    <row r="33" spans="2:3" ht="16.05" customHeight="1" x14ac:dyDescent="0.3">
      <c r="B33" s="10">
        <v>14</v>
      </c>
      <c r="C33" s="6" t="s">
        <v>29</v>
      </c>
    </row>
    <row r="34" spans="2:3" ht="16.05" customHeight="1" x14ac:dyDescent="0.3">
      <c r="B34" s="8">
        <v>15</v>
      </c>
      <c r="C34" s="9" t="s">
        <v>30</v>
      </c>
    </row>
    <row r="35" spans="2:3" ht="16.05" customHeight="1" x14ac:dyDescent="0.3">
      <c r="B35" s="10">
        <v>16</v>
      </c>
      <c r="C35" s="6" t="s">
        <v>31</v>
      </c>
    </row>
    <row r="36" spans="2:3" ht="16.05" customHeight="1" x14ac:dyDescent="0.3">
      <c r="B36" s="8">
        <v>17</v>
      </c>
      <c r="C36" s="9" t="s">
        <v>32</v>
      </c>
    </row>
    <row r="37" spans="2:3" ht="16.05" customHeight="1" x14ac:dyDescent="0.3">
      <c r="B37" s="10">
        <v>18</v>
      </c>
      <c r="C37" s="6" t="s">
        <v>33</v>
      </c>
    </row>
    <row r="38" spans="2:3" ht="16.05" customHeight="1" x14ac:dyDescent="0.3">
      <c r="B38" s="8">
        <v>19</v>
      </c>
      <c r="C38" s="9" t="s">
        <v>34</v>
      </c>
    </row>
    <row r="39" spans="2:3" ht="16.05" customHeight="1" x14ac:dyDescent="0.3">
      <c r="B39" s="10">
        <v>20</v>
      </c>
      <c r="C39" s="6" t="s">
        <v>35</v>
      </c>
    </row>
    <row r="40" spans="2:3" ht="16.05" customHeight="1" x14ac:dyDescent="0.3">
      <c r="B40" s="8">
        <v>21</v>
      </c>
      <c r="C40" s="9" t="s">
        <v>36</v>
      </c>
    </row>
    <row r="41" spans="2:3" ht="16.05" customHeight="1" x14ac:dyDescent="0.3">
      <c r="B41" s="10">
        <v>22</v>
      </c>
      <c r="C41" s="6" t="s">
        <v>37</v>
      </c>
    </row>
  </sheetData>
  <mergeCells count="4">
    <mergeCell ref="B3:D3"/>
    <mergeCell ref="B4:D4"/>
    <mergeCell ref="B8:D8"/>
    <mergeCell ref="B19:D1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9"/>
  <sheetViews>
    <sheetView workbookViewId="0"/>
  </sheetViews>
  <sheetFormatPr baseColWidth="10" defaultColWidth="8.88671875" defaultRowHeight="14.4" x14ac:dyDescent="0.3"/>
  <cols>
    <col min="1" max="1" width="2" customWidth="1"/>
    <col min="2" max="2" width="32" customWidth="1"/>
    <col min="3" max="3" width="58" customWidth="1"/>
  </cols>
  <sheetData>
    <row r="1" spans="2:3" ht="24" customHeight="1" x14ac:dyDescent="0.3">
      <c r="B1" s="28" t="s">
        <v>38</v>
      </c>
      <c r="C1" s="28"/>
    </row>
    <row r="2" spans="2:3" ht="4.05" customHeight="1" x14ac:dyDescent="0.3"/>
    <row r="3" spans="2:3" ht="16.05" customHeight="1" x14ac:dyDescent="0.3">
      <c r="B3" s="11" t="s">
        <v>39</v>
      </c>
      <c r="C3" s="11" t="s">
        <v>40</v>
      </c>
    </row>
    <row r="4" spans="2:3" ht="14.4" customHeight="1" x14ac:dyDescent="0.3">
      <c r="B4" s="12" t="s">
        <v>5</v>
      </c>
      <c r="C4" s="9" t="s">
        <v>6</v>
      </c>
    </row>
    <row r="5" spans="2:3" ht="14.4" customHeight="1" x14ac:dyDescent="0.3">
      <c r="B5" s="13" t="s">
        <v>7</v>
      </c>
      <c r="C5" s="6" t="s">
        <v>8</v>
      </c>
    </row>
    <row r="6" spans="2:3" ht="14.4" customHeight="1" x14ac:dyDescent="0.3">
      <c r="B6" s="12" t="s">
        <v>9</v>
      </c>
      <c r="C6" s="9" t="s">
        <v>10</v>
      </c>
    </row>
    <row r="7" spans="2:3" ht="14.4" customHeight="1" x14ac:dyDescent="0.3">
      <c r="B7" s="13" t="s">
        <v>11</v>
      </c>
      <c r="C7" s="6" t="s">
        <v>12</v>
      </c>
    </row>
    <row r="8" spans="2:3" ht="14.4" customHeight="1" x14ac:dyDescent="0.3">
      <c r="B8" s="12" t="s">
        <v>13</v>
      </c>
      <c r="C8" s="9" t="s">
        <v>14</v>
      </c>
    </row>
    <row r="9" spans="2:3" ht="14.4" customHeight="1" x14ac:dyDescent="0.3">
      <c r="B9" s="13" t="s">
        <v>41</v>
      </c>
      <c r="C9" s="6" t="s">
        <v>42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18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43</v>
      </c>
      <c r="C4" s="14" t="s">
        <v>40</v>
      </c>
    </row>
    <row r="5" spans="2:22" ht="18" customHeight="1" x14ac:dyDescent="0.3">
      <c r="B5" s="12" t="s">
        <v>44</v>
      </c>
      <c r="C5" s="15" t="s">
        <v>45</v>
      </c>
    </row>
    <row r="6" spans="2:22" ht="18" customHeight="1" x14ac:dyDescent="0.3">
      <c r="B6" s="13" t="s">
        <v>46</v>
      </c>
      <c r="C6" s="16" t="s">
        <v>47</v>
      </c>
    </row>
    <row r="7" spans="2:22" ht="18" customHeight="1" x14ac:dyDescent="0.3">
      <c r="B7" s="12" t="s">
        <v>48</v>
      </c>
      <c r="C7" s="15" t="s">
        <v>49</v>
      </c>
    </row>
    <row r="8" spans="2:22" ht="18" customHeight="1" x14ac:dyDescent="0.3">
      <c r="B8" s="13" t="s">
        <v>50</v>
      </c>
      <c r="C8" s="16" t="s">
        <v>51</v>
      </c>
    </row>
    <row r="9" spans="2:22" ht="18" customHeight="1" x14ac:dyDescent="0.3">
      <c r="B9" s="12" t="s">
        <v>52</v>
      </c>
      <c r="C9" s="15" t="s">
        <v>53</v>
      </c>
    </row>
    <row r="10" spans="2:22" ht="18" customHeight="1" x14ac:dyDescent="0.3">
      <c r="B10" s="13" t="s">
        <v>54</v>
      </c>
      <c r="C10" s="16" t="s">
        <v>55</v>
      </c>
    </row>
    <row r="11" spans="2:22" ht="18" customHeight="1" x14ac:dyDescent="0.3">
      <c r="B11" s="12" t="s">
        <v>56</v>
      </c>
      <c r="C11" s="15" t="s">
        <v>57</v>
      </c>
    </row>
    <row r="12" spans="2:22" ht="18" customHeight="1" x14ac:dyDescent="0.3">
      <c r="B12" s="13" t="s">
        <v>58</v>
      </c>
      <c r="C12" s="16" t="s">
        <v>59</v>
      </c>
    </row>
    <row r="13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19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43</v>
      </c>
      <c r="C4" s="14" t="s">
        <v>40</v>
      </c>
    </row>
    <row r="5" spans="2:22" ht="18" customHeight="1" x14ac:dyDescent="0.3">
      <c r="B5" s="12" t="s">
        <v>60</v>
      </c>
      <c r="C5" s="15" t="s">
        <v>61</v>
      </c>
    </row>
    <row r="6" spans="2:22" ht="18" customHeight="1" x14ac:dyDescent="0.3">
      <c r="B6" s="13" t="s">
        <v>62</v>
      </c>
      <c r="C6" s="16" t="s">
        <v>63</v>
      </c>
    </row>
    <row r="7" spans="2:22" ht="18" customHeight="1" x14ac:dyDescent="0.3">
      <c r="B7" s="12" t="s">
        <v>64</v>
      </c>
      <c r="C7" s="15" t="s">
        <v>65</v>
      </c>
    </row>
    <row r="8" spans="2:22" ht="18" customHeight="1" x14ac:dyDescent="0.3">
      <c r="B8" s="13" t="s">
        <v>66</v>
      </c>
      <c r="C8" s="16" t="s">
        <v>67</v>
      </c>
    </row>
    <row r="9" spans="2:22" ht="18" customHeight="1" x14ac:dyDescent="0.3">
      <c r="B9" s="12" t="s">
        <v>68</v>
      </c>
      <c r="C9" s="15" t="s">
        <v>69</v>
      </c>
    </row>
    <row r="10" spans="2:22" ht="18" customHeight="1" x14ac:dyDescent="0.3">
      <c r="B10" s="13" t="s">
        <v>70</v>
      </c>
      <c r="C10" s="16" t="s">
        <v>71</v>
      </c>
    </row>
    <row r="11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146"/>
  <sheetViews>
    <sheetView showGridLines="0" tabSelected="1" workbookViewId="0">
      <pane ySplit="3" topLeftCell="A4" activePane="bottomLeft" state="frozen"/>
      <selection pane="bottomLeft" activeCell="C16" sqref="C16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22.05" customHeight="1" x14ac:dyDescent="0.3">
      <c r="B4" s="30" t="s">
        <v>72</v>
      </c>
      <c r="C4" s="30"/>
      <c r="D4" s="30"/>
      <c r="E4" s="30"/>
      <c r="F4" s="30"/>
    </row>
    <row r="5" spans="2:22" ht="4.95" customHeight="1" x14ac:dyDescent="0.3"/>
    <row r="6" spans="2:22" ht="19.95" customHeight="1" x14ac:dyDescent="0.3">
      <c r="B6" s="11" t="s">
        <v>5</v>
      </c>
      <c r="C6" s="11" t="s">
        <v>9</v>
      </c>
      <c r="D6" s="11" t="s">
        <v>73</v>
      </c>
      <c r="E6" s="11" t="s">
        <v>74</v>
      </c>
    </row>
    <row r="7" spans="2:22" ht="16.95" customHeight="1" x14ac:dyDescent="0.3">
      <c r="B7" s="12" t="s">
        <v>75</v>
      </c>
      <c r="C7" s="17" t="s">
        <v>76</v>
      </c>
      <c r="D7" s="18">
        <v>560721</v>
      </c>
      <c r="E7" s="18">
        <v>8.64</v>
      </c>
      <c r="G7">
        <f>(D7-D78)/D7</f>
        <v>-3.1662805566404682E-2</v>
      </c>
    </row>
    <row r="8" spans="2:22" ht="16.95" customHeight="1" x14ac:dyDescent="0.3">
      <c r="B8" s="13" t="s">
        <v>75</v>
      </c>
      <c r="C8" s="19" t="s">
        <v>77</v>
      </c>
      <c r="D8" s="20">
        <v>446255</v>
      </c>
      <c r="E8" s="20">
        <v>6.88</v>
      </c>
      <c r="G8">
        <f>(D8-D79)/D8</f>
        <v>4.9030262966241276E-3</v>
      </c>
    </row>
    <row r="9" spans="2:22" ht="16.95" customHeight="1" x14ac:dyDescent="0.3">
      <c r="B9" s="12" t="s">
        <v>75</v>
      </c>
      <c r="C9" s="17" t="s">
        <v>78</v>
      </c>
      <c r="D9" s="18">
        <v>331970</v>
      </c>
      <c r="E9" s="18">
        <v>5.1100000000000003</v>
      </c>
      <c r="G9">
        <f t="shared" ref="G9:G72" si="0">(D9-D80)/D9</f>
        <v>4.1750760610898578E-3</v>
      </c>
    </row>
    <row r="10" spans="2:22" ht="16.95" customHeight="1" x14ac:dyDescent="0.3">
      <c r="B10" s="13" t="s">
        <v>75</v>
      </c>
      <c r="C10" s="19" t="s">
        <v>79</v>
      </c>
      <c r="D10" s="20">
        <v>330428</v>
      </c>
      <c r="E10" s="20">
        <v>5.09</v>
      </c>
      <c r="G10">
        <f t="shared" si="0"/>
        <v>7.2118585592020048E-3</v>
      </c>
    </row>
    <row r="11" spans="2:22" ht="16.95" customHeight="1" x14ac:dyDescent="0.3">
      <c r="B11" s="12" t="s">
        <v>75</v>
      </c>
      <c r="C11" s="17" t="s">
        <v>80</v>
      </c>
      <c r="D11" s="18">
        <v>296592</v>
      </c>
      <c r="E11" s="18">
        <v>4.57</v>
      </c>
      <c r="G11">
        <f t="shared" si="0"/>
        <v>-5.5126234018449587E-3</v>
      </c>
    </row>
    <row r="12" spans="2:22" ht="16.95" customHeight="1" x14ac:dyDescent="0.3">
      <c r="B12" s="13" t="s">
        <v>75</v>
      </c>
      <c r="C12" s="19" t="s">
        <v>81</v>
      </c>
      <c r="D12" s="20">
        <v>260201</v>
      </c>
      <c r="E12" s="20">
        <v>4.01</v>
      </c>
      <c r="G12">
        <f t="shared" si="0"/>
        <v>6.3600831664751487E-2</v>
      </c>
    </row>
    <row r="13" spans="2:22" ht="16.95" customHeight="1" x14ac:dyDescent="0.3">
      <c r="B13" s="12" t="s">
        <v>75</v>
      </c>
      <c r="C13" s="17" t="s">
        <v>82</v>
      </c>
      <c r="D13" s="18">
        <v>243372</v>
      </c>
      <c r="E13" s="18">
        <v>3.75</v>
      </c>
      <c r="G13">
        <f t="shared" si="0"/>
        <v>3.2140098285751852E-2</v>
      </c>
    </row>
    <row r="14" spans="2:22" ht="16.95" customHeight="1" x14ac:dyDescent="0.3">
      <c r="B14" s="13" t="s">
        <v>75</v>
      </c>
      <c r="C14" s="19" t="s">
        <v>83</v>
      </c>
      <c r="D14" s="20">
        <v>237089</v>
      </c>
      <c r="E14" s="20">
        <v>3.65</v>
      </c>
      <c r="G14">
        <f t="shared" si="0"/>
        <v>1.1442960238560203E-2</v>
      </c>
    </row>
    <row r="15" spans="2:22" ht="16.95" customHeight="1" x14ac:dyDescent="0.3">
      <c r="B15" s="12" t="s">
        <v>75</v>
      </c>
      <c r="C15" s="17" t="s">
        <v>84</v>
      </c>
      <c r="D15" s="18">
        <v>234077</v>
      </c>
      <c r="E15" s="18">
        <v>3.61</v>
      </c>
      <c r="G15">
        <f t="shared" si="0"/>
        <v>1.7515603839762131E-4</v>
      </c>
    </row>
    <row r="16" spans="2:22" ht="16.95" customHeight="1" x14ac:dyDescent="0.3">
      <c r="B16" s="13" t="s">
        <v>75</v>
      </c>
      <c r="C16" s="19" t="s">
        <v>85</v>
      </c>
      <c r="D16" s="20">
        <v>208450</v>
      </c>
      <c r="E16" s="20">
        <v>3.21</v>
      </c>
      <c r="G16">
        <f t="shared" si="0"/>
        <v>-1.295274646198129E-3</v>
      </c>
    </row>
    <row r="17" spans="2:7" ht="16.95" customHeight="1" x14ac:dyDescent="0.3">
      <c r="B17" s="12" t="s">
        <v>75</v>
      </c>
      <c r="C17" s="17" t="s">
        <v>86</v>
      </c>
      <c r="D17" s="18">
        <v>202835</v>
      </c>
      <c r="E17" s="18">
        <v>3.13</v>
      </c>
      <c r="G17">
        <f t="shared" si="0"/>
        <v>1.9695811866788277E-2</v>
      </c>
    </row>
    <row r="18" spans="2:7" ht="16.95" customHeight="1" x14ac:dyDescent="0.3">
      <c r="B18" s="13" t="s">
        <v>75</v>
      </c>
      <c r="C18" s="19" t="s">
        <v>87</v>
      </c>
      <c r="D18" s="20">
        <v>196083</v>
      </c>
      <c r="E18" s="20">
        <v>3.02</v>
      </c>
      <c r="G18">
        <f t="shared" si="0"/>
        <v>6.3075330344802963E-2</v>
      </c>
    </row>
    <row r="19" spans="2:7" ht="16.95" customHeight="1" x14ac:dyDescent="0.3">
      <c r="B19" s="12" t="s">
        <v>75</v>
      </c>
      <c r="C19" s="17" t="s">
        <v>88</v>
      </c>
      <c r="D19" s="18">
        <v>178470</v>
      </c>
      <c r="E19" s="18">
        <v>2.75</v>
      </c>
      <c r="G19">
        <f t="shared" si="0"/>
        <v>1.2214938084832185E-2</v>
      </c>
    </row>
    <row r="20" spans="2:7" ht="16.95" customHeight="1" x14ac:dyDescent="0.3">
      <c r="B20" s="13" t="s">
        <v>89</v>
      </c>
      <c r="C20" s="19" t="s">
        <v>90</v>
      </c>
      <c r="D20" s="20">
        <v>158288</v>
      </c>
      <c r="E20" s="20">
        <v>2.44</v>
      </c>
      <c r="G20">
        <f t="shared" si="0"/>
        <v>-1.5838218942686749E-2</v>
      </c>
    </row>
    <row r="21" spans="2:7" ht="16.95" customHeight="1" x14ac:dyDescent="0.3">
      <c r="B21" s="12" t="s">
        <v>91</v>
      </c>
      <c r="C21" s="17" t="s">
        <v>92</v>
      </c>
      <c r="D21" s="18">
        <v>158172</v>
      </c>
      <c r="E21" s="18">
        <v>2.44</v>
      </c>
      <c r="G21">
        <f t="shared" si="0"/>
        <v>-1.4414687808208785E-2</v>
      </c>
    </row>
    <row r="22" spans="2:7" ht="16.95" customHeight="1" x14ac:dyDescent="0.3">
      <c r="B22" s="13" t="s">
        <v>75</v>
      </c>
      <c r="C22" s="19" t="s">
        <v>93</v>
      </c>
      <c r="D22" s="20">
        <v>148514</v>
      </c>
      <c r="E22" s="20">
        <v>2.29</v>
      </c>
      <c r="G22">
        <f t="shared" si="0"/>
        <v>3.6871944732483133E-2</v>
      </c>
    </row>
    <row r="23" spans="2:7" ht="16.95" customHeight="1" x14ac:dyDescent="0.3">
      <c r="B23" s="12" t="s">
        <v>75</v>
      </c>
      <c r="C23" s="17" t="s">
        <v>94</v>
      </c>
      <c r="D23" s="18">
        <v>144787</v>
      </c>
      <c r="E23" s="18">
        <v>2.23</v>
      </c>
      <c r="G23">
        <f t="shared" si="0"/>
        <v>3.5010049244752636E-2</v>
      </c>
    </row>
    <row r="24" spans="2:7" ht="16.95" customHeight="1" x14ac:dyDescent="0.3">
      <c r="B24" s="13" t="s">
        <v>95</v>
      </c>
      <c r="C24" s="19" t="s">
        <v>96</v>
      </c>
      <c r="D24" s="20">
        <v>137361</v>
      </c>
      <c r="E24" s="20">
        <v>2.12</v>
      </c>
      <c r="G24">
        <f t="shared" si="0"/>
        <v>-1.4618414251497878E-2</v>
      </c>
    </row>
    <row r="25" spans="2:7" ht="16.95" customHeight="1" x14ac:dyDescent="0.3">
      <c r="B25" s="12" t="s">
        <v>95</v>
      </c>
      <c r="C25" s="17" t="s">
        <v>92</v>
      </c>
      <c r="D25" s="18">
        <v>120115</v>
      </c>
      <c r="E25" s="18">
        <v>1.85</v>
      </c>
      <c r="G25">
        <f t="shared" si="0"/>
        <v>-3.7255963035424382E-2</v>
      </c>
    </row>
    <row r="26" spans="2:7" ht="16.95" customHeight="1" x14ac:dyDescent="0.3">
      <c r="B26" s="13" t="s">
        <v>97</v>
      </c>
      <c r="C26" s="19" t="s">
        <v>98</v>
      </c>
      <c r="D26" s="20">
        <v>117404</v>
      </c>
      <c r="E26" s="20">
        <v>1.81</v>
      </c>
      <c r="G26">
        <f t="shared" si="0"/>
        <v>-2.947088685223672E-2</v>
      </c>
    </row>
    <row r="27" spans="2:7" ht="16.95" customHeight="1" x14ac:dyDescent="0.3">
      <c r="B27" s="12" t="s">
        <v>75</v>
      </c>
      <c r="C27" s="17" t="s">
        <v>99</v>
      </c>
      <c r="D27" s="18">
        <v>110973</v>
      </c>
      <c r="E27" s="18">
        <v>1.71</v>
      </c>
      <c r="G27">
        <f t="shared" si="0"/>
        <v>4.5299307038649039E-2</v>
      </c>
    </row>
    <row r="28" spans="2:7" ht="16.95" customHeight="1" x14ac:dyDescent="0.3">
      <c r="B28" s="13" t="s">
        <v>100</v>
      </c>
      <c r="C28" s="19" t="s">
        <v>101</v>
      </c>
      <c r="D28" s="20">
        <v>104115</v>
      </c>
      <c r="E28" s="20">
        <v>1.6</v>
      </c>
      <c r="G28">
        <f t="shared" si="0"/>
        <v>5.9991355712433365E-2</v>
      </c>
    </row>
    <row r="29" spans="2:7" ht="16.95" customHeight="1" x14ac:dyDescent="0.3">
      <c r="B29" s="12" t="s">
        <v>102</v>
      </c>
      <c r="C29" s="17" t="s">
        <v>103</v>
      </c>
      <c r="D29" s="18">
        <v>86435</v>
      </c>
      <c r="E29" s="18">
        <v>1.33</v>
      </c>
      <c r="G29">
        <f t="shared" si="0"/>
        <v>-7.1383120263782032E-2</v>
      </c>
    </row>
    <row r="30" spans="2:7" ht="16.95" customHeight="1" x14ac:dyDescent="0.3">
      <c r="B30" s="13" t="s">
        <v>91</v>
      </c>
      <c r="C30" s="19" t="s">
        <v>104</v>
      </c>
      <c r="D30" s="20">
        <v>77259</v>
      </c>
      <c r="E30" s="20">
        <v>1.19</v>
      </c>
      <c r="G30">
        <f t="shared" si="0"/>
        <v>-0.10890640572619371</v>
      </c>
    </row>
    <row r="31" spans="2:7" ht="16.95" customHeight="1" x14ac:dyDescent="0.3">
      <c r="B31" s="12" t="s">
        <v>91</v>
      </c>
      <c r="C31" s="17" t="s">
        <v>105</v>
      </c>
      <c r="D31" s="18">
        <v>64739</v>
      </c>
      <c r="E31" s="18">
        <v>1</v>
      </c>
      <c r="G31">
        <f t="shared" si="0"/>
        <v>-0.22643228965538548</v>
      </c>
    </row>
    <row r="32" spans="2:7" ht="16.95" customHeight="1" x14ac:dyDescent="0.3">
      <c r="B32" s="13" t="s">
        <v>91</v>
      </c>
      <c r="C32" s="19" t="s">
        <v>106</v>
      </c>
      <c r="D32" s="20">
        <v>64209</v>
      </c>
      <c r="E32" s="20">
        <v>0.99</v>
      </c>
      <c r="G32">
        <f t="shared" si="0"/>
        <v>-1.0901898487750939E-4</v>
      </c>
    </row>
    <row r="33" spans="2:7" ht="16.95" customHeight="1" x14ac:dyDescent="0.3">
      <c r="B33" s="12" t="s">
        <v>95</v>
      </c>
      <c r="C33" s="17" t="s">
        <v>107</v>
      </c>
      <c r="D33" s="18">
        <v>61655</v>
      </c>
      <c r="E33" s="18">
        <v>0.95</v>
      </c>
      <c r="G33">
        <f t="shared" si="0"/>
        <v>-3.9688589733192767E-2</v>
      </c>
    </row>
    <row r="34" spans="2:7" ht="16.95" customHeight="1" x14ac:dyDescent="0.3">
      <c r="B34" s="13" t="s">
        <v>75</v>
      </c>
      <c r="C34" s="19" t="s">
        <v>108</v>
      </c>
      <c r="D34" s="20">
        <v>57351</v>
      </c>
      <c r="E34" s="20">
        <v>0.88</v>
      </c>
      <c r="G34">
        <f t="shared" si="0"/>
        <v>-8.0120660494150064E-2</v>
      </c>
    </row>
    <row r="35" spans="2:7" ht="16.95" customHeight="1" x14ac:dyDescent="0.3">
      <c r="B35" s="12" t="s">
        <v>91</v>
      </c>
      <c r="C35" s="17" t="s">
        <v>96</v>
      </c>
      <c r="D35" s="18">
        <v>57109</v>
      </c>
      <c r="E35" s="18">
        <v>0.88</v>
      </c>
      <c r="G35">
        <f t="shared" si="0"/>
        <v>-2.0522159379432314E-2</v>
      </c>
    </row>
    <row r="36" spans="2:7" ht="16.95" customHeight="1" x14ac:dyDescent="0.3">
      <c r="B36" s="13" t="s">
        <v>95</v>
      </c>
      <c r="C36" s="19" t="s">
        <v>106</v>
      </c>
      <c r="D36" s="20">
        <v>57017</v>
      </c>
      <c r="E36" s="20">
        <v>0.88</v>
      </c>
      <c r="G36">
        <f t="shared" si="0"/>
        <v>1.4030903063998457E-3</v>
      </c>
    </row>
    <row r="37" spans="2:7" ht="16.95" customHeight="1" x14ac:dyDescent="0.3">
      <c r="B37" s="12" t="s">
        <v>91</v>
      </c>
      <c r="C37" s="17" t="s">
        <v>109</v>
      </c>
      <c r="D37" s="18">
        <v>56553</v>
      </c>
      <c r="E37" s="18">
        <v>0.87</v>
      </c>
      <c r="G37">
        <f t="shared" si="0"/>
        <v>8.0809152476438023E-3</v>
      </c>
    </row>
    <row r="38" spans="2:7" ht="16.95" customHeight="1" x14ac:dyDescent="0.3">
      <c r="B38" s="13" t="s">
        <v>110</v>
      </c>
      <c r="C38" s="19" t="s">
        <v>111</v>
      </c>
      <c r="D38" s="20">
        <v>52987</v>
      </c>
      <c r="E38" s="20">
        <v>0.82</v>
      </c>
      <c r="G38">
        <f t="shared" si="0"/>
        <v>-5.8580406514805519E-2</v>
      </c>
    </row>
    <row r="39" spans="2:7" ht="16.95" customHeight="1" x14ac:dyDescent="0.3">
      <c r="B39" s="12" t="s">
        <v>75</v>
      </c>
      <c r="C39" s="17" t="s">
        <v>112</v>
      </c>
      <c r="D39" s="18">
        <v>51128</v>
      </c>
      <c r="E39" s="18">
        <v>0.79</v>
      </c>
      <c r="G39">
        <f t="shared" si="0"/>
        <v>-9.3666875293381316E-2</v>
      </c>
    </row>
    <row r="40" spans="2:7" ht="16.95" customHeight="1" x14ac:dyDescent="0.3">
      <c r="B40" s="13" t="s">
        <v>97</v>
      </c>
      <c r="C40" s="19" t="s">
        <v>113</v>
      </c>
      <c r="D40" s="20">
        <v>51073</v>
      </c>
      <c r="E40" s="20">
        <v>0.79</v>
      </c>
      <c r="G40">
        <f t="shared" si="0"/>
        <v>-5.1808196111448317E-2</v>
      </c>
    </row>
    <row r="41" spans="2:7" ht="16.95" customHeight="1" x14ac:dyDescent="0.3">
      <c r="B41" s="12" t="s">
        <v>91</v>
      </c>
      <c r="C41" s="17" t="s">
        <v>114</v>
      </c>
      <c r="D41" s="18">
        <v>50991</v>
      </c>
      <c r="E41" s="18">
        <v>0.79</v>
      </c>
      <c r="G41">
        <f t="shared" si="0"/>
        <v>-3.7790982722441212E-2</v>
      </c>
    </row>
    <row r="42" spans="2:7" ht="16.95" customHeight="1" x14ac:dyDescent="0.3">
      <c r="B42" s="13" t="s">
        <v>115</v>
      </c>
      <c r="C42" s="19" t="s">
        <v>115</v>
      </c>
      <c r="D42" s="20">
        <v>49897</v>
      </c>
      <c r="E42" s="20">
        <v>0.77</v>
      </c>
      <c r="G42">
        <f t="shared" si="0"/>
        <v>-2.493135859871335E-2</v>
      </c>
    </row>
    <row r="43" spans="2:7" ht="16.95" customHeight="1" x14ac:dyDescent="0.3">
      <c r="B43" s="12" t="s">
        <v>116</v>
      </c>
      <c r="C43" s="17" t="s">
        <v>117</v>
      </c>
      <c r="D43" s="18">
        <v>48580</v>
      </c>
      <c r="E43" s="18">
        <v>0.75</v>
      </c>
      <c r="G43">
        <f t="shared" si="0"/>
        <v>-2.0913956360642239E-2</v>
      </c>
    </row>
    <row r="44" spans="2:7" ht="16.95" customHeight="1" x14ac:dyDescent="0.3">
      <c r="B44" s="13" t="s">
        <v>118</v>
      </c>
      <c r="C44" s="19" t="s">
        <v>119</v>
      </c>
      <c r="D44" s="20">
        <v>45616</v>
      </c>
      <c r="E44" s="20">
        <v>0.7</v>
      </c>
      <c r="G44">
        <f t="shared" si="0"/>
        <v>1.2276394247632411E-3</v>
      </c>
    </row>
    <row r="45" spans="2:7" ht="16.95" customHeight="1" x14ac:dyDescent="0.3">
      <c r="B45" s="12" t="s">
        <v>97</v>
      </c>
      <c r="C45" s="17" t="s">
        <v>120</v>
      </c>
      <c r="D45" s="18">
        <v>45108</v>
      </c>
      <c r="E45" s="18">
        <v>0.7</v>
      </c>
      <c r="G45">
        <f t="shared" si="0"/>
        <v>-8.2468741686618774E-3</v>
      </c>
    </row>
    <row r="46" spans="2:7" ht="16.95" customHeight="1" x14ac:dyDescent="0.3">
      <c r="B46" s="13" t="s">
        <v>97</v>
      </c>
      <c r="C46" s="19" t="s">
        <v>121</v>
      </c>
      <c r="D46" s="20">
        <v>41751</v>
      </c>
      <c r="E46" s="20">
        <v>0.64</v>
      </c>
      <c r="G46">
        <f t="shared" si="0"/>
        <v>-6.8261838039807426E-2</v>
      </c>
    </row>
    <row r="47" spans="2:7" ht="16.95" customHeight="1" x14ac:dyDescent="0.3">
      <c r="B47" s="12" t="s">
        <v>91</v>
      </c>
      <c r="C47" s="17" t="s">
        <v>107</v>
      </c>
      <c r="D47" s="18">
        <v>41504</v>
      </c>
      <c r="E47" s="18">
        <v>0.64</v>
      </c>
      <c r="G47">
        <f t="shared" si="0"/>
        <v>1.06736700077101E-2</v>
      </c>
    </row>
    <row r="48" spans="2:7" ht="16.95" customHeight="1" x14ac:dyDescent="0.3">
      <c r="B48" s="13" t="s">
        <v>91</v>
      </c>
      <c r="C48" s="19" t="s">
        <v>122</v>
      </c>
      <c r="D48" s="20">
        <v>41062</v>
      </c>
      <c r="E48" s="20">
        <v>0.63</v>
      </c>
      <c r="G48">
        <f t="shared" si="0"/>
        <v>1.2347182309678047E-2</v>
      </c>
    </row>
    <row r="49" spans="2:7" ht="16.95" customHeight="1" x14ac:dyDescent="0.3">
      <c r="B49" s="12" t="s">
        <v>95</v>
      </c>
      <c r="C49" s="17" t="s">
        <v>105</v>
      </c>
      <c r="D49" s="18">
        <v>40975</v>
      </c>
      <c r="E49" s="18">
        <v>0.63</v>
      </c>
      <c r="G49">
        <f t="shared" si="0"/>
        <v>6.2355094569859673E-2</v>
      </c>
    </row>
    <row r="50" spans="2:7" ht="16.95" customHeight="1" x14ac:dyDescent="0.3">
      <c r="B50" s="13" t="s">
        <v>97</v>
      </c>
      <c r="C50" s="19" t="s">
        <v>123</v>
      </c>
      <c r="D50" s="20">
        <v>36578</v>
      </c>
      <c r="E50" s="20">
        <v>0.56000000000000005</v>
      </c>
      <c r="G50">
        <f t="shared" si="0"/>
        <v>4.0024058177046309E-2</v>
      </c>
    </row>
    <row r="51" spans="2:7" ht="16.95" customHeight="1" x14ac:dyDescent="0.3">
      <c r="B51" s="12" t="s">
        <v>118</v>
      </c>
      <c r="C51" s="17" t="s">
        <v>124</v>
      </c>
      <c r="D51" s="18">
        <v>34585</v>
      </c>
      <c r="E51" s="18">
        <v>0.53</v>
      </c>
      <c r="G51">
        <f t="shared" si="0"/>
        <v>1.8591875090357091E-2</v>
      </c>
    </row>
    <row r="52" spans="2:7" ht="16.95" customHeight="1" x14ac:dyDescent="0.3">
      <c r="B52" s="13" t="s">
        <v>95</v>
      </c>
      <c r="C52" s="19" t="s">
        <v>125</v>
      </c>
      <c r="D52" s="20">
        <v>33125</v>
      </c>
      <c r="E52" s="20">
        <v>0.51</v>
      </c>
      <c r="G52">
        <f t="shared" si="0"/>
        <v>6.5207547169811317E-3</v>
      </c>
    </row>
    <row r="53" spans="2:7" ht="16.95" customHeight="1" x14ac:dyDescent="0.3">
      <c r="B53" s="12" t="s">
        <v>97</v>
      </c>
      <c r="C53" s="17" t="s">
        <v>126</v>
      </c>
      <c r="D53" s="18">
        <v>31922</v>
      </c>
      <c r="E53" s="18">
        <v>0.49</v>
      </c>
      <c r="G53">
        <f t="shared" si="0"/>
        <v>2.9227492011778711E-2</v>
      </c>
    </row>
    <row r="54" spans="2:7" ht="16.95" customHeight="1" x14ac:dyDescent="0.3">
      <c r="B54" s="13" t="s">
        <v>95</v>
      </c>
      <c r="C54" s="19" t="s">
        <v>109</v>
      </c>
      <c r="D54" s="20">
        <v>31597</v>
      </c>
      <c r="E54" s="20">
        <v>0.49</v>
      </c>
      <c r="G54">
        <f t="shared" si="0"/>
        <v>2.3356647783017374E-2</v>
      </c>
    </row>
    <row r="55" spans="2:7" ht="16.95" customHeight="1" x14ac:dyDescent="0.3">
      <c r="B55" s="12" t="s">
        <v>110</v>
      </c>
      <c r="C55" s="17" t="s">
        <v>127</v>
      </c>
      <c r="D55" s="18">
        <v>30917</v>
      </c>
      <c r="E55" s="18">
        <v>0.48</v>
      </c>
      <c r="G55">
        <f t="shared" si="0"/>
        <v>2.8463304977843903E-3</v>
      </c>
    </row>
    <row r="56" spans="2:7" ht="16.95" customHeight="1" x14ac:dyDescent="0.3">
      <c r="B56" s="13" t="s">
        <v>97</v>
      </c>
      <c r="C56" s="19" t="s">
        <v>128</v>
      </c>
      <c r="D56" s="20">
        <v>26290</v>
      </c>
      <c r="E56" s="20">
        <v>0.41</v>
      </c>
      <c r="G56">
        <f t="shared" si="0"/>
        <v>2.1262837580829214E-2</v>
      </c>
    </row>
    <row r="57" spans="2:7" ht="16.95" customHeight="1" x14ac:dyDescent="0.3">
      <c r="B57" s="12" t="s">
        <v>116</v>
      </c>
      <c r="C57" s="17" t="s">
        <v>129</v>
      </c>
      <c r="D57" s="18">
        <v>24019</v>
      </c>
      <c r="E57" s="18">
        <v>0.37</v>
      </c>
      <c r="G57">
        <f t="shared" si="0"/>
        <v>4.1633706648902953E-4</v>
      </c>
    </row>
    <row r="58" spans="2:7" ht="16.95" customHeight="1" x14ac:dyDescent="0.3">
      <c r="B58" s="13" t="s">
        <v>97</v>
      </c>
      <c r="C58" s="19" t="s">
        <v>130</v>
      </c>
      <c r="D58" s="20">
        <v>23050</v>
      </c>
      <c r="E58" s="20">
        <v>0.36</v>
      </c>
      <c r="G58">
        <f t="shared" si="0"/>
        <v>0.11835140997830802</v>
      </c>
    </row>
    <row r="59" spans="2:7" ht="16.95" customHeight="1" x14ac:dyDescent="0.3">
      <c r="B59" s="12" t="s">
        <v>91</v>
      </c>
      <c r="C59" s="17" t="s">
        <v>131</v>
      </c>
      <c r="D59" s="18">
        <v>19967</v>
      </c>
      <c r="E59" s="18">
        <v>0.31</v>
      </c>
      <c r="G59">
        <f t="shared" si="0"/>
        <v>1.8530575449491661E-3</v>
      </c>
    </row>
    <row r="60" spans="2:7" ht="16.95" customHeight="1" x14ac:dyDescent="0.3">
      <c r="B60" s="13" t="s">
        <v>89</v>
      </c>
      <c r="C60" s="19" t="s">
        <v>132</v>
      </c>
      <c r="D60" s="20">
        <v>16832</v>
      </c>
      <c r="E60" s="20">
        <v>0.26</v>
      </c>
      <c r="G60">
        <f t="shared" si="0"/>
        <v>-1.5862642585551329E-2</v>
      </c>
    </row>
    <row r="61" spans="2:7" ht="16.95" customHeight="1" x14ac:dyDescent="0.3">
      <c r="B61" s="12" t="s">
        <v>100</v>
      </c>
      <c r="C61" s="17" t="s">
        <v>133</v>
      </c>
      <c r="D61" s="18">
        <v>16707</v>
      </c>
      <c r="E61" s="18">
        <v>0.26</v>
      </c>
      <c r="G61">
        <f t="shared" si="0"/>
        <v>0.11725623989944335</v>
      </c>
    </row>
    <row r="62" spans="2:7" ht="16.95" customHeight="1" x14ac:dyDescent="0.3">
      <c r="B62" s="13" t="s">
        <v>102</v>
      </c>
      <c r="C62" s="19" t="s">
        <v>134</v>
      </c>
      <c r="D62" s="20">
        <v>15074</v>
      </c>
      <c r="E62" s="20">
        <v>0.23</v>
      </c>
      <c r="G62">
        <f t="shared" si="0"/>
        <v>0.12922913626111185</v>
      </c>
    </row>
    <row r="63" spans="2:7" ht="16.95" customHeight="1" x14ac:dyDescent="0.3">
      <c r="B63" s="12" t="s">
        <v>75</v>
      </c>
      <c r="C63" s="17" t="s">
        <v>135</v>
      </c>
      <c r="D63" s="18">
        <v>13559</v>
      </c>
      <c r="E63" s="18">
        <v>0.21</v>
      </c>
      <c r="G63">
        <f t="shared" si="0"/>
        <v>4.1890994911129138E-2</v>
      </c>
    </row>
    <row r="64" spans="2:7" ht="16.95" customHeight="1" x14ac:dyDescent="0.3">
      <c r="B64" s="13" t="s">
        <v>91</v>
      </c>
      <c r="C64" s="19" t="s">
        <v>136</v>
      </c>
      <c r="D64" s="20">
        <v>13158</v>
      </c>
      <c r="E64" s="20">
        <v>0.2</v>
      </c>
      <c r="G64">
        <f t="shared" si="0"/>
        <v>1.7479860161118712E-2</v>
      </c>
    </row>
    <row r="65" spans="2:7" ht="16.95" customHeight="1" x14ac:dyDescent="0.3">
      <c r="B65" s="12" t="s">
        <v>91</v>
      </c>
      <c r="C65" s="17" t="s">
        <v>137</v>
      </c>
      <c r="D65" s="18">
        <v>12884</v>
      </c>
      <c r="E65" s="18">
        <v>0.2</v>
      </c>
      <c r="G65">
        <f t="shared" si="0"/>
        <v>2.3828003725551071E-2</v>
      </c>
    </row>
    <row r="66" spans="2:7" ht="16.95" customHeight="1" x14ac:dyDescent="0.3">
      <c r="B66" s="13" t="s">
        <v>75</v>
      </c>
      <c r="C66" s="19" t="s">
        <v>138</v>
      </c>
      <c r="D66" s="20">
        <v>12697</v>
      </c>
      <c r="E66" s="20">
        <v>0.2</v>
      </c>
      <c r="G66">
        <f t="shared" si="0"/>
        <v>2.7644325431204222E-2</v>
      </c>
    </row>
    <row r="67" spans="2:7" ht="16.95" customHeight="1" x14ac:dyDescent="0.3">
      <c r="B67" s="12" t="s">
        <v>97</v>
      </c>
      <c r="C67" s="17" t="s">
        <v>139</v>
      </c>
      <c r="D67" s="18">
        <v>8710</v>
      </c>
      <c r="E67" s="18">
        <v>0.13</v>
      </c>
      <c r="G67">
        <f t="shared" si="0"/>
        <v>-6.3145809414466127E-3</v>
      </c>
    </row>
    <row r="68" spans="2:7" ht="16.95" customHeight="1" x14ac:dyDescent="0.3">
      <c r="B68" s="13" t="s">
        <v>97</v>
      </c>
      <c r="C68" s="19" t="s">
        <v>140</v>
      </c>
      <c r="D68" s="20">
        <v>7085</v>
      </c>
      <c r="E68" s="20">
        <v>0.11</v>
      </c>
      <c r="G68">
        <f t="shared" si="0"/>
        <v>-3.824982357092449E-2</v>
      </c>
    </row>
    <row r="69" spans="2:7" ht="16.95" customHeight="1" x14ac:dyDescent="0.3">
      <c r="B69" s="12" t="s">
        <v>97</v>
      </c>
      <c r="C69" s="17" t="s">
        <v>141</v>
      </c>
      <c r="D69" s="18">
        <v>3554</v>
      </c>
      <c r="E69" s="18">
        <v>0.05</v>
      </c>
      <c r="G69">
        <f t="shared" si="0"/>
        <v>6.9780528981429377E-2</v>
      </c>
    </row>
    <row r="70" spans="2:7" ht="16.95" customHeight="1" x14ac:dyDescent="0.3">
      <c r="B70" s="13" t="s">
        <v>97</v>
      </c>
      <c r="C70" s="19" t="s">
        <v>142</v>
      </c>
      <c r="D70" s="20">
        <v>3032</v>
      </c>
      <c r="E70" s="20">
        <v>0.05</v>
      </c>
      <c r="G70">
        <f t="shared" si="0"/>
        <v>-6.1675461741424804E-2</v>
      </c>
    </row>
    <row r="71" spans="2:7" ht="16.95" customHeight="1" x14ac:dyDescent="0.3">
      <c r="B71" s="12" t="s">
        <v>91</v>
      </c>
      <c r="C71" s="17" t="s">
        <v>143</v>
      </c>
      <c r="D71" s="18">
        <v>2854</v>
      </c>
      <c r="E71" s="18">
        <v>0.04</v>
      </c>
      <c r="G71">
        <f t="shared" si="0"/>
        <v>-2.5928521373510861E-2</v>
      </c>
    </row>
    <row r="72" spans="2:7" ht="16.95" customHeight="1" x14ac:dyDescent="0.3">
      <c r="B72" s="13" t="s">
        <v>75</v>
      </c>
      <c r="C72" s="19" t="s">
        <v>144</v>
      </c>
      <c r="D72" s="20">
        <v>1495</v>
      </c>
      <c r="E72" s="20">
        <v>0.02</v>
      </c>
      <c r="G72">
        <f t="shared" si="0"/>
        <v>-6.0200668896321072E-2</v>
      </c>
    </row>
    <row r="73" spans="2:7" ht="16.95" customHeight="1" x14ac:dyDescent="0.3">
      <c r="B73" s="12" t="s">
        <v>97</v>
      </c>
      <c r="C73" s="17" t="s">
        <v>145</v>
      </c>
      <c r="D73" s="18">
        <v>1339</v>
      </c>
      <c r="E73" s="18">
        <v>0.02</v>
      </c>
      <c r="G73">
        <f t="shared" ref="G73:G74" si="1">(D73-D144)/D73</f>
        <v>0.13517550410754295</v>
      </c>
    </row>
    <row r="74" spans="2:7" ht="7.95" customHeight="1" x14ac:dyDescent="0.3"/>
    <row r="75" spans="2:7" ht="22.05" customHeight="1" x14ac:dyDescent="0.3">
      <c r="B75" s="31" t="s">
        <v>146</v>
      </c>
      <c r="C75" s="31"/>
      <c r="D75" s="31"/>
      <c r="E75" s="31"/>
      <c r="F75" s="31"/>
    </row>
    <row r="76" spans="2:7" ht="4.95" customHeight="1" x14ac:dyDescent="0.3"/>
    <row r="77" spans="2:7" ht="19.95" customHeight="1" x14ac:dyDescent="0.3">
      <c r="B77" s="21" t="s">
        <v>5</v>
      </c>
      <c r="C77" s="21" t="s">
        <v>9</v>
      </c>
      <c r="D77" s="21" t="s">
        <v>73</v>
      </c>
      <c r="E77" s="21" t="s">
        <v>74</v>
      </c>
    </row>
    <row r="78" spans="2:7" ht="16.95" customHeight="1" x14ac:dyDescent="0.3">
      <c r="B78" s="12" t="s">
        <v>75</v>
      </c>
      <c r="C78" s="17" t="s">
        <v>76</v>
      </c>
      <c r="D78" s="18">
        <v>578475</v>
      </c>
      <c r="E78" s="18">
        <v>8.91</v>
      </c>
    </row>
    <row r="79" spans="2:7" ht="16.95" customHeight="1" x14ac:dyDescent="0.3">
      <c r="B79" s="13" t="s">
        <v>75</v>
      </c>
      <c r="C79" s="19" t="s">
        <v>77</v>
      </c>
      <c r="D79" s="20">
        <v>444067</v>
      </c>
      <c r="E79" s="20">
        <v>6.84</v>
      </c>
    </row>
    <row r="80" spans="2:7" ht="16.95" customHeight="1" x14ac:dyDescent="0.3">
      <c r="B80" s="12" t="s">
        <v>75</v>
      </c>
      <c r="C80" s="17" t="s">
        <v>78</v>
      </c>
      <c r="D80" s="18">
        <v>330584</v>
      </c>
      <c r="E80" s="18">
        <v>5.09</v>
      </c>
    </row>
    <row r="81" spans="2:5" ht="16.95" customHeight="1" x14ac:dyDescent="0.3">
      <c r="B81" s="13" t="s">
        <v>75</v>
      </c>
      <c r="C81" s="19" t="s">
        <v>79</v>
      </c>
      <c r="D81" s="20">
        <v>328045</v>
      </c>
      <c r="E81" s="20">
        <v>5.05</v>
      </c>
    </row>
    <row r="82" spans="2:5" ht="16.95" customHeight="1" x14ac:dyDescent="0.3">
      <c r="B82" s="12" t="s">
        <v>75</v>
      </c>
      <c r="C82" s="17" t="s">
        <v>80</v>
      </c>
      <c r="D82" s="18">
        <v>298227</v>
      </c>
      <c r="E82" s="18">
        <v>4.59</v>
      </c>
    </row>
    <row r="83" spans="2:5" ht="16.95" customHeight="1" x14ac:dyDescent="0.3">
      <c r="B83" s="13" t="s">
        <v>75</v>
      </c>
      <c r="C83" s="19" t="s">
        <v>82</v>
      </c>
      <c r="D83" s="20">
        <v>243652</v>
      </c>
      <c r="E83" s="20">
        <v>3.75</v>
      </c>
    </row>
    <row r="84" spans="2:5" ht="16.95" customHeight="1" x14ac:dyDescent="0.3">
      <c r="B84" s="12" t="s">
        <v>75</v>
      </c>
      <c r="C84" s="17" t="s">
        <v>81</v>
      </c>
      <c r="D84" s="18">
        <v>235550</v>
      </c>
      <c r="E84" s="18">
        <v>3.63</v>
      </c>
    </row>
    <row r="85" spans="2:5" ht="16.95" customHeight="1" x14ac:dyDescent="0.3">
      <c r="B85" s="13" t="s">
        <v>75</v>
      </c>
      <c r="C85" s="19" t="s">
        <v>83</v>
      </c>
      <c r="D85" s="20">
        <v>234376</v>
      </c>
      <c r="E85" s="20">
        <v>3.61</v>
      </c>
    </row>
    <row r="86" spans="2:5" ht="16.95" customHeight="1" x14ac:dyDescent="0.3">
      <c r="B86" s="12" t="s">
        <v>75</v>
      </c>
      <c r="C86" s="17" t="s">
        <v>84</v>
      </c>
      <c r="D86" s="18">
        <v>234036</v>
      </c>
      <c r="E86" s="18">
        <v>3.61</v>
      </c>
    </row>
    <row r="87" spans="2:5" ht="16.95" customHeight="1" x14ac:dyDescent="0.3">
      <c r="B87" s="13" t="s">
        <v>75</v>
      </c>
      <c r="C87" s="19" t="s">
        <v>85</v>
      </c>
      <c r="D87" s="20">
        <v>208720</v>
      </c>
      <c r="E87" s="20">
        <v>3.22</v>
      </c>
    </row>
    <row r="88" spans="2:5" ht="16.95" customHeight="1" x14ac:dyDescent="0.3">
      <c r="B88" s="12" t="s">
        <v>75</v>
      </c>
      <c r="C88" s="17" t="s">
        <v>86</v>
      </c>
      <c r="D88" s="18">
        <v>198840</v>
      </c>
      <c r="E88" s="18">
        <v>3.06</v>
      </c>
    </row>
    <row r="89" spans="2:5" ht="16.95" customHeight="1" x14ac:dyDescent="0.3">
      <c r="B89" s="13" t="s">
        <v>75</v>
      </c>
      <c r="C89" s="19" t="s">
        <v>87</v>
      </c>
      <c r="D89" s="20">
        <v>183715</v>
      </c>
      <c r="E89" s="20">
        <v>2.83</v>
      </c>
    </row>
    <row r="90" spans="2:5" ht="16.95" customHeight="1" x14ac:dyDescent="0.3">
      <c r="B90" s="12" t="s">
        <v>75</v>
      </c>
      <c r="C90" s="17" t="s">
        <v>88</v>
      </c>
      <c r="D90" s="18">
        <v>176290</v>
      </c>
      <c r="E90" s="18">
        <v>2.72</v>
      </c>
    </row>
    <row r="91" spans="2:5" ht="16.95" customHeight="1" x14ac:dyDescent="0.3">
      <c r="B91" s="13" t="s">
        <v>89</v>
      </c>
      <c r="C91" s="19" t="s">
        <v>90</v>
      </c>
      <c r="D91" s="20">
        <v>160795</v>
      </c>
      <c r="E91" s="20">
        <v>2.48</v>
      </c>
    </row>
    <row r="92" spans="2:5" ht="16.95" customHeight="1" x14ac:dyDescent="0.3">
      <c r="B92" s="12" t="s">
        <v>91</v>
      </c>
      <c r="C92" s="17" t="s">
        <v>92</v>
      </c>
      <c r="D92" s="18">
        <v>160452</v>
      </c>
      <c r="E92" s="18">
        <v>2.4700000000000002</v>
      </c>
    </row>
    <row r="93" spans="2:5" ht="16.95" customHeight="1" x14ac:dyDescent="0.3">
      <c r="B93" s="13" t="s">
        <v>75</v>
      </c>
      <c r="C93" s="19" t="s">
        <v>94</v>
      </c>
      <c r="D93" s="20">
        <v>143038</v>
      </c>
      <c r="E93" s="20">
        <v>2.2000000000000002</v>
      </c>
    </row>
    <row r="94" spans="2:5" ht="16.95" customHeight="1" x14ac:dyDescent="0.3">
      <c r="B94" s="12" t="s">
        <v>75</v>
      </c>
      <c r="C94" s="17" t="s">
        <v>93</v>
      </c>
      <c r="D94" s="18">
        <v>139718</v>
      </c>
      <c r="E94" s="18">
        <v>2.15</v>
      </c>
    </row>
    <row r="95" spans="2:5" ht="16.95" customHeight="1" x14ac:dyDescent="0.3">
      <c r="B95" s="13" t="s">
        <v>95</v>
      </c>
      <c r="C95" s="19" t="s">
        <v>96</v>
      </c>
      <c r="D95" s="20">
        <v>139369</v>
      </c>
      <c r="E95" s="20">
        <v>2.15</v>
      </c>
    </row>
    <row r="96" spans="2:5" ht="16.95" customHeight="1" x14ac:dyDescent="0.3">
      <c r="B96" s="12" t="s">
        <v>97</v>
      </c>
      <c r="C96" s="17" t="s">
        <v>98</v>
      </c>
      <c r="D96" s="18">
        <v>124590</v>
      </c>
      <c r="E96" s="18">
        <v>1.92</v>
      </c>
    </row>
    <row r="97" spans="2:5" ht="16.95" customHeight="1" x14ac:dyDescent="0.3">
      <c r="B97" s="13" t="s">
        <v>95</v>
      </c>
      <c r="C97" s="19" t="s">
        <v>92</v>
      </c>
      <c r="D97" s="20">
        <v>120864</v>
      </c>
      <c r="E97" s="20">
        <v>1.86</v>
      </c>
    </row>
    <row r="98" spans="2:5" ht="16.95" customHeight="1" x14ac:dyDescent="0.3">
      <c r="B98" s="12" t="s">
        <v>100</v>
      </c>
      <c r="C98" s="17" t="s">
        <v>101</v>
      </c>
      <c r="D98" s="18">
        <v>105946</v>
      </c>
      <c r="E98" s="18">
        <v>1.63</v>
      </c>
    </row>
    <row r="99" spans="2:5" ht="16.95" customHeight="1" x14ac:dyDescent="0.3">
      <c r="B99" s="13" t="s">
        <v>115</v>
      </c>
      <c r="C99" s="19" t="s">
        <v>115</v>
      </c>
      <c r="D99" s="20">
        <v>97869</v>
      </c>
      <c r="E99" s="20">
        <v>1.51</v>
      </c>
    </row>
    <row r="100" spans="2:5" ht="16.95" customHeight="1" x14ac:dyDescent="0.3">
      <c r="B100" s="12" t="s">
        <v>75</v>
      </c>
      <c r="C100" s="17" t="s">
        <v>99</v>
      </c>
      <c r="D100" s="18">
        <v>92605</v>
      </c>
      <c r="E100" s="18">
        <v>1.43</v>
      </c>
    </row>
    <row r="101" spans="2:5" ht="16.95" customHeight="1" x14ac:dyDescent="0.3">
      <c r="B101" s="13" t="s">
        <v>102</v>
      </c>
      <c r="C101" s="19" t="s">
        <v>103</v>
      </c>
      <c r="D101" s="20">
        <v>85673</v>
      </c>
      <c r="E101" s="20">
        <v>1.32</v>
      </c>
    </row>
    <row r="102" spans="2:5" ht="16.95" customHeight="1" x14ac:dyDescent="0.3">
      <c r="B102" s="12" t="s">
        <v>91</v>
      </c>
      <c r="C102" s="17" t="s">
        <v>104</v>
      </c>
      <c r="D102" s="18">
        <v>79398</v>
      </c>
      <c r="E102" s="18">
        <v>1.22</v>
      </c>
    </row>
    <row r="103" spans="2:5" ht="16.95" customHeight="1" x14ac:dyDescent="0.3">
      <c r="B103" s="13" t="s">
        <v>91</v>
      </c>
      <c r="C103" s="19" t="s">
        <v>105</v>
      </c>
      <c r="D103" s="20">
        <v>64216</v>
      </c>
      <c r="E103" s="20">
        <v>0.99</v>
      </c>
    </row>
    <row r="104" spans="2:5" ht="16.95" customHeight="1" x14ac:dyDescent="0.3">
      <c r="B104" s="12" t="s">
        <v>91</v>
      </c>
      <c r="C104" s="17" t="s">
        <v>106</v>
      </c>
      <c r="D104" s="18">
        <v>64102</v>
      </c>
      <c r="E104" s="18">
        <v>0.99</v>
      </c>
    </row>
    <row r="105" spans="2:5" ht="16.95" customHeight="1" x14ac:dyDescent="0.3">
      <c r="B105" s="13" t="s">
        <v>95</v>
      </c>
      <c r="C105" s="19" t="s">
        <v>107</v>
      </c>
      <c r="D105" s="20">
        <v>61946</v>
      </c>
      <c r="E105" s="20">
        <v>0.95</v>
      </c>
    </row>
    <row r="106" spans="2:5" ht="16.95" customHeight="1" x14ac:dyDescent="0.3">
      <c r="B106" s="12" t="s">
        <v>95</v>
      </c>
      <c r="C106" s="17" t="s">
        <v>106</v>
      </c>
      <c r="D106" s="18">
        <v>58281</v>
      </c>
      <c r="E106" s="18">
        <v>0.9</v>
      </c>
    </row>
    <row r="107" spans="2:5" ht="16.95" customHeight="1" x14ac:dyDescent="0.3">
      <c r="B107" s="13" t="s">
        <v>75</v>
      </c>
      <c r="C107" s="19" t="s">
        <v>108</v>
      </c>
      <c r="D107" s="20">
        <v>56937</v>
      </c>
      <c r="E107" s="20">
        <v>0.88</v>
      </c>
    </row>
    <row r="108" spans="2:5" ht="16.95" customHeight="1" x14ac:dyDescent="0.3">
      <c r="B108" s="12" t="s">
        <v>91</v>
      </c>
      <c r="C108" s="17" t="s">
        <v>107</v>
      </c>
      <c r="D108" s="18">
        <v>56096</v>
      </c>
      <c r="E108" s="18">
        <v>0.86</v>
      </c>
    </row>
    <row r="109" spans="2:5" ht="16.95" customHeight="1" x14ac:dyDescent="0.3">
      <c r="B109" s="13" t="s">
        <v>91</v>
      </c>
      <c r="C109" s="19" t="s">
        <v>96</v>
      </c>
      <c r="D109" s="20">
        <v>56091</v>
      </c>
      <c r="E109" s="20">
        <v>0.86</v>
      </c>
    </row>
    <row r="110" spans="2:5" ht="16.95" customHeight="1" x14ac:dyDescent="0.3">
      <c r="B110" s="12" t="s">
        <v>91</v>
      </c>
      <c r="C110" s="17" t="s">
        <v>109</v>
      </c>
      <c r="D110" s="18">
        <v>55917</v>
      </c>
      <c r="E110" s="18">
        <v>0.86</v>
      </c>
    </row>
    <row r="111" spans="2:5" ht="16.95" customHeight="1" x14ac:dyDescent="0.3">
      <c r="B111" s="13" t="s">
        <v>110</v>
      </c>
      <c r="C111" s="19" t="s">
        <v>111</v>
      </c>
      <c r="D111" s="20">
        <v>53719</v>
      </c>
      <c r="E111" s="20">
        <v>0.83</v>
      </c>
    </row>
    <row r="112" spans="2:5" ht="16.95" customHeight="1" x14ac:dyDescent="0.3">
      <c r="B112" s="12" t="s">
        <v>97</v>
      </c>
      <c r="C112" s="17" t="s">
        <v>113</v>
      </c>
      <c r="D112" s="18">
        <v>52918</v>
      </c>
      <c r="E112" s="18">
        <v>0.82</v>
      </c>
    </row>
    <row r="113" spans="2:5" ht="16.95" customHeight="1" x14ac:dyDescent="0.3">
      <c r="B113" s="13" t="s">
        <v>75</v>
      </c>
      <c r="C113" s="19" t="s">
        <v>112</v>
      </c>
      <c r="D113" s="20">
        <v>51141</v>
      </c>
      <c r="E113" s="20">
        <v>0.79</v>
      </c>
    </row>
    <row r="114" spans="2:5" ht="16.95" customHeight="1" x14ac:dyDescent="0.3">
      <c r="B114" s="12" t="s">
        <v>116</v>
      </c>
      <c r="C114" s="17" t="s">
        <v>117</v>
      </c>
      <c r="D114" s="18">
        <v>49596</v>
      </c>
      <c r="E114" s="18">
        <v>0.76</v>
      </c>
    </row>
    <row r="115" spans="2:5" ht="16.95" customHeight="1" x14ac:dyDescent="0.3">
      <c r="B115" s="13" t="s">
        <v>91</v>
      </c>
      <c r="C115" s="19" t="s">
        <v>114</v>
      </c>
      <c r="D115" s="20">
        <v>45560</v>
      </c>
      <c r="E115" s="20">
        <v>0.7</v>
      </c>
    </row>
    <row r="116" spans="2:5" ht="16.95" customHeight="1" x14ac:dyDescent="0.3">
      <c r="B116" s="12" t="s">
        <v>118</v>
      </c>
      <c r="C116" s="17" t="s">
        <v>119</v>
      </c>
      <c r="D116" s="18">
        <v>45480</v>
      </c>
      <c r="E116" s="18">
        <v>0.7</v>
      </c>
    </row>
    <row r="117" spans="2:5" ht="16.95" customHeight="1" x14ac:dyDescent="0.3">
      <c r="B117" s="13" t="s">
        <v>97</v>
      </c>
      <c r="C117" s="19" t="s">
        <v>120</v>
      </c>
      <c r="D117" s="20">
        <v>44601</v>
      </c>
      <c r="E117" s="20">
        <v>0.69</v>
      </c>
    </row>
    <row r="118" spans="2:5" ht="16.95" customHeight="1" x14ac:dyDescent="0.3">
      <c r="B118" s="12" t="s">
        <v>95</v>
      </c>
      <c r="C118" s="17" t="s">
        <v>105</v>
      </c>
      <c r="D118" s="18">
        <v>41061</v>
      </c>
      <c r="E118" s="18">
        <v>0.63</v>
      </c>
    </row>
    <row r="119" spans="2:5" ht="16.95" customHeight="1" x14ac:dyDescent="0.3">
      <c r="B119" s="13" t="s">
        <v>91</v>
      </c>
      <c r="C119" s="19" t="s">
        <v>122</v>
      </c>
      <c r="D119" s="20">
        <v>40555</v>
      </c>
      <c r="E119" s="20">
        <v>0.62</v>
      </c>
    </row>
    <row r="120" spans="2:5" ht="16.95" customHeight="1" x14ac:dyDescent="0.3">
      <c r="B120" s="12" t="s">
        <v>97</v>
      </c>
      <c r="C120" s="17" t="s">
        <v>121</v>
      </c>
      <c r="D120" s="18">
        <v>38420</v>
      </c>
      <c r="E120" s="18">
        <v>0.59</v>
      </c>
    </row>
    <row r="121" spans="2:5" ht="16.95" customHeight="1" x14ac:dyDescent="0.3">
      <c r="B121" s="13" t="s">
        <v>118</v>
      </c>
      <c r="C121" s="19" t="s">
        <v>124</v>
      </c>
      <c r="D121" s="20">
        <v>35114</v>
      </c>
      <c r="E121" s="20">
        <v>0.54</v>
      </c>
    </row>
    <row r="122" spans="2:5" ht="16.95" customHeight="1" x14ac:dyDescent="0.3">
      <c r="B122" s="12" t="s">
        <v>97</v>
      </c>
      <c r="C122" s="17" t="s">
        <v>123</v>
      </c>
      <c r="D122" s="18">
        <v>33942</v>
      </c>
      <c r="E122" s="18">
        <v>0.52</v>
      </c>
    </row>
    <row r="123" spans="2:5" ht="16.95" customHeight="1" x14ac:dyDescent="0.3">
      <c r="B123" s="13" t="s">
        <v>95</v>
      </c>
      <c r="C123" s="19" t="s">
        <v>125</v>
      </c>
      <c r="D123" s="20">
        <v>32909</v>
      </c>
      <c r="E123" s="20">
        <v>0.51</v>
      </c>
    </row>
    <row r="124" spans="2:5" ht="16.95" customHeight="1" x14ac:dyDescent="0.3">
      <c r="B124" s="12" t="s">
        <v>95</v>
      </c>
      <c r="C124" s="17" t="s">
        <v>109</v>
      </c>
      <c r="D124" s="18">
        <v>30989</v>
      </c>
      <c r="E124" s="18">
        <v>0.48</v>
      </c>
    </row>
    <row r="125" spans="2:5" ht="16.95" customHeight="1" x14ac:dyDescent="0.3">
      <c r="B125" s="13" t="s">
        <v>110</v>
      </c>
      <c r="C125" s="19" t="s">
        <v>127</v>
      </c>
      <c r="D125" s="20">
        <v>30859</v>
      </c>
      <c r="E125" s="20">
        <v>0.48</v>
      </c>
    </row>
    <row r="126" spans="2:5" ht="16.95" customHeight="1" x14ac:dyDescent="0.3">
      <c r="B126" s="12" t="s">
        <v>97</v>
      </c>
      <c r="C126" s="17" t="s">
        <v>126</v>
      </c>
      <c r="D126" s="18">
        <v>30829</v>
      </c>
      <c r="E126" s="18">
        <v>0.48</v>
      </c>
    </row>
    <row r="127" spans="2:5" ht="16.95" customHeight="1" x14ac:dyDescent="0.3">
      <c r="B127" s="13" t="s">
        <v>97</v>
      </c>
      <c r="C127" s="19" t="s">
        <v>128</v>
      </c>
      <c r="D127" s="20">
        <v>25731</v>
      </c>
      <c r="E127" s="20">
        <v>0.4</v>
      </c>
    </row>
    <row r="128" spans="2:5" ht="16.95" customHeight="1" x14ac:dyDescent="0.3">
      <c r="B128" s="12" t="s">
        <v>97</v>
      </c>
      <c r="C128" s="17" t="s">
        <v>130</v>
      </c>
      <c r="D128" s="18">
        <v>24009</v>
      </c>
      <c r="E128" s="18">
        <v>0.37</v>
      </c>
    </row>
    <row r="129" spans="2:5" ht="16.95" customHeight="1" x14ac:dyDescent="0.3">
      <c r="B129" s="13" t="s">
        <v>116</v>
      </c>
      <c r="C129" s="19" t="s">
        <v>129</v>
      </c>
      <c r="D129" s="20">
        <v>20322</v>
      </c>
      <c r="E129" s="20">
        <v>0.31</v>
      </c>
    </row>
    <row r="130" spans="2:5" ht="16.95" customHeight="1" x14ac:dyDescent="0.3">
      <c r="B130" s="12" t="s">
        <v>91</v>
      </c>
      <c r="C130" s="17" t="s">
        <v>131</v>
      </c>
      <c r="D130" s="18">
        <v>19930</v>
      </c>
      <c r="E130" s="18">
        <v>0.31</v>
      </c>
    </row>
    <row r="131" spans="2:5" ht="16.95" customHeight="1" x14ac:dyDescent="0.3">
      <c r="B131" s="13" t="s">
        <v>89</v>
      </c>
      <c r="C131" s="19" t="s">
        <v>132</v>
      </c>
      <c r="D131" s="20">
        <v>17099</v>
      </c>
      <c r="E131" s="20">
        <v>0.26</v>
      </c>
    </row>
    <row r="132" spans="2:5" ht="16.95" customHeight="1" x14ac:dyDescent="0.3">
      <c r="B132" s="12" t="s">
        <v>75</v>
      </c>
      <c r="C132" s="17" t="s">
        <v>135</v>
      </c>
      <c r="D132" s="18">
        <v>14748</v>
      </c>
      <c r="E132" s="18">
        <v>0.23</v>
      </c>
    </row>
    <row r="133" spans="2:5" ht="16.95" customHeight="1" x14ac:dyDescent="0.3">
      <c r="B133" s="13" t="s">
        <v>91</v>
      </c>
      <c r="C133" s="19" t="s">
        <v>136</v>
      </c>
      <c r="D133" s="20">
        <v>13126</v>
      </c>
      <c r="E133" s="20">
        <v>0.2</v>
      </c>
    </row>
    <row r="134" spans="2:5" ht="16.95" customHeight="1" x14ac:dyDescent="0.3">
      <c r="B134" s="12" t="s">
        <v>100</v>
      </c>
      <c r="C134" s="17" t="s">
        <v>133</v>
      </c>
      <c r="D134" s="18">
        <v>12991</v>
      </c>
      <c r="E134" s="18">
        <v>0.2</v>
      </c>
    </row>
    <row r="135" spans="2:5" ht="16.95" customHeight="1" x14ac:dyDescent="0.3">
      <c r="B135" s="13" t="s">
        <v>102</v>
      </c>
      <c r="C135" s="19" t="s">
        <v>134</v>
      </c>
      <c r="D135" s="20">
        <v>12928</v>
      </c>
      <c r="E135" s="20">
        <v>0.2</v>
      </c>
    </row>
    <row r="136" spans="2:5" ht="16.95" customHeight="1" x14ac:dyDescent="0.3">
      <c r="B136" s="12" t="s">
        <v>75</v>
      </c>
      <c r="C136" s="17" t="s">
        <v>138</v>
      </c>
      <c r="D136" s="18">
        <v>12577</v>
      </c>
      <c r="E136" s="18">
        <v>0.19</v>
      </c>
    </row>
    <row r="137" spans="2:5" ht="16.95" customHeight="1" x14ac:dyDescent="0.3">
      <c r="B137" s="13" t="s">
        <v>91</v>
      </c>
      <c r="C137" s="19" t="s">
        <v>137</v>
      </c>
      <c r="D137" s="20">
        <v>12346</v>
      </c>
      <c r="E137" s="20">
        <v>0.19</v>
      </c>
    </row>
    <row r="138" spans="2:5" ht="16.95" customHeight="1" x14ac:dyDescent="0.3">
      <c r="B138" s="12" t="s">
        <v>97</v>
      </c>
      <c r="C138" s="17" t="s">
        <v>139</v>
      </c>
      <c r="D138" s="18">
        <v>8765</v>
      </c>
      <c r="E138" s="18">
        <v>0.14000000000000001</v>
      </c>
    </row>
    <row r="139" spans="2:5" ht="16.95" customHeight="1" x14ac:dyDescent="0.3">
      <c r="B139" s="13" t="s">
        <v>97</v>
      </c>
      <c r="C139" s="19" t="s">
        <v>140</v>
      </c>
      <c r="D139" s="20">
        <v>7356</v>
      </c>
      <c r="E139" s="20">
        <v>0.11</v>
      </c>
    </row>
    <row r="140" spans="2:5" ht="16.95" customHeight="1" x14ac:dyDescent="0.3">
      <c r="B140" s="12" t="s">
        <v>97</v>
      </c>
      <c r="C140" s="17" t="s">
        <v>141</v>
      </c>
      <c r="D140" s="18">
        <v>3306</v>
      </c>
      <c r="E140" s="18">
        <v>0.05</v>
      </c>
    </row>
    <row r="141" spans="2:5" ht="16.95" customHeight="1" x14ac:dyDescent="0.3">
      <c r="B141" s="13" t="s">
        <v>97</v>
      </c>
      <c r="C141" s="19" t="s">
        <v>142</v>
      </c>
      <c r="D141" s="20">
        <v>3219</v>
      </c>
      <c r="E141" s="20">
        <v>0.05</v>
      </c>
    </row>
    <row r="142" spans="2:5" ht="16.95" customHeight="1" x14ac:dyDescent="0.3">
      <c r="B142" s="12" t="s">
        <v>91</v>
      </c>
      <c r="C142" s="17" t="s">
        <v>143</v>
      </c>
      <c r="D142" s="18">
        <v>2928</v>
      </c>
      <c r="E142" s="18">
        <v>0.05</v>
      </c>
    </row>
    <row r="143" spans="2:5" ht="16.95" customHeight="1" x14ac:dyDescent="0.3">
      <c r="B143" s="13" t="s">
        <v>97</v>
      </c>
      <c r="C143" s="19" t="s">
        <v>145</v>
      </c>
      <c r="D143" s="20">
        <v>1585</v>
      </c>
      <c r="E143" s="20">
        <v>0.02</v>
      </c>
    </row>
    <row r="144" spans="2:5" ht="16.95" customHeight="1" x14ac:dyDescent="0.3">
      <c r="B144" s="12" t="s">
        <v>75</v>
      </c>
      <c r="C144" s="17" t="s">
        <v>144</v>
      </c>
      <c r="D144" s="18">
        <v>1158</v>
      </c>
      <c r="E144" s="18">
        <v>0.02</v>
      </c>
    </row>
    <row r="145" ht="7.95" customHeight="1" x14ac:dyDescent="0.3"/>
    <row r="146" ht="7.95" customHeight="1" x14ac:dyDescent="0.3"/>
  </sheetData>
  <mergeCells count="3">
    <mergeCell ref="B1:V1"/>
    <mergeCell ref="B4:F4"/>
    <mergeCell ref="B75:F75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29"/>
  <sheetViews>
    <sheetView showGridLines="0" workbookViewId="0">
      <pane ySplit="3" topLeftCell="A20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147</v>
      </c>
      <c r="C4" s="22" t="s">
        <v>148</v>
      </c>
      <c r="D4" s="23" t="s">
        <v>149</v>
      </c>
      <c r="E4" s="21" t="s">
        <v>150</v>
      </c>
      <c r="F4" s="24" t="s">
        <v>151</v>
      </c>
    </row>
    <row r="5" spans="2:22" ht="16.05" customHeight="1" x14ac:dyDescent="0.3">
      <c r="B5" s="12" t="s">
        <v>152</v>
      </c>
      <c r="C5" s="18">
        <v>578</v>
      </c>
      <c r="D5" s="18">
        <v>2927</v>
      </c>
      <c r="E5" s="18">
        <v>1775</v>
      </c>
      <c r="F5" s="18">
        <v>1778</v>
      </c>
    </row>
    <row r="6" spans="2:22" ht="16.05" customHeight="1" x14ac:dyDescent="0.3">
      <c r="B6" s="13" t="s">
        <v>153</v>
      </c>
      <c r="C6" s="20">
        <v>1037</v>
      </c>
      <c r="D6" s="20">
        <v>1347</v>
      </c>
      <c r="E6" s="20">
        <v>3685</v>
      </c>
      <c r="F6" s="20">
        <v>1530</v>
      </c>
    </row>
    <row r="7" spans="2:22" ht="16.05" customHeight="1" x14ac:dyDescent="0.3">
      <c r="B7" s="12" t="s">
        <v>154</v>
      </c>
      <c r="C7" s="18">
        <v>1761</v>
      </c>
      <c r="D7" s="18">
        <v>3113</v>
      </c>
      <c r="E7" s="18">
        <v>6873</v>
      </c>
      <c r="F7" s="18">
        <v>1883</v>
      </c>
    </row>
    <row r="8" spans="2:22" ht="16.05" customHeight="1" x14ac:dyDescent="0.3">
      <c r="B8" s="13" t="s">
        <v>155</v>
      </c>
      <c r="C8" s="20">
        <v>976</v>
      </c>
      <c r="D8" s="20">
        <v>5859</v>
      </c>
      <c r="E8" s="20">
        <v>7442</v>
      </c>
      <c r="F8" s="20">
        <v>2343</v>
      </c>
    </row>
    <row r="9" spans="2:22" ht="16.05" customHeight="1" x14ac:dyDescent="0.3">
      <c r="B9" s="12" t="s">
        <v>156</v>
      </c>
      <c r="C9" s="18">
        <v>1995</v>
      </c>
      <c r="D9" s="18">
        <v>64220</v>
      </c>
      <c r="E9" s="18">
        <v>26723</v>
      </c>
      <c r="F9" s="18">
        <v>9845</v>
      </c>
    </row>
    <row r="10" spans="2:22" ht="16.05" customHeight="1" x14ac:dyDescent="0.3">
      <c r="B10" s="13" t="s">
        <v>157</v>
      </c>
      <c r="C10" s="20">
        <v>6721</v>
      </c>
      <c r="D10" s="20">
        <v>148582</v>
      </c>
      <c r="E10" s="20">
        <v>114380</v>
      </c>
      <c r="F10" s="20">
        <v>74270</v>
      </c>
    </row>
    <row r="11" spans="2:22" ht="16.05" customHeight="1" x14ac:dyDescent="0.3">
      <c r="B11" s="12" t="s">
        <v>158</v>
      </c>
      <c r="C11" s="18">
        <v>16546</v>
      </c>
      <c r="D11" s="18">
        <v>239034</v>
      </c>
      <c r="E11" s="18">
        <v>230844</v>
      </c>
      <c r="F11" s="18">
        <v>230544</v>
      </c>
    </row>
    <row r="12" spans="2:22" ht="16.05" customHeight="1" x14ac:dyDescent="0.3">
      <c r="B12" s="13" t="s">
        <v>159</v>
      </c>
      <c r="C12" s="20">
        <v>19532</v>
      </c>
      <c r="D12" s="20">
        <v>175367</v>
      </c>
      <c r="E12" s="20">
        <v>200941</v>
      </c>
      <c r="F12" s="20">
        <v>123771</v>
      </c>
    </row>
    <row r="13" spans="2:22" ht="16.05" customHeight="1" x14ac:dyDescent="0.3">
      <c r="B13" s="12" t="s">
        <v>160</v>
      </c>
      <c r="C13" s="18">
        <v>14244</v>
      </c>
      <c r="D13" s="18">
        <v>118392</v>
      </c>
      <c r="E13" s="18">
        <v>100780</v>
      </c>
      <c r="F13" s="18">
        <v>113922</v>
      </c>
    </row>
    <row r="14" spans="2:22" ht="16.05" customHeight="1" x14ac:dyDescent="0.3">
      <c r="B14" s="13" t="s">
        <v>161</v>
      </c>
      <c r="C14" s="20">
        <v>17450</v>
      </c>
      <c r="D14" s="20">
        <v>98624</v>
      </c>
      <c r="E14" s="20">
        <v>65839</v>
      </c>
      <c r="F14" s="20">
        <v>110015</v>
      </c>
    </row>
    <row r="15" spans="2:22" ht="16.05" customHeight="1" x14ac:dyDescent="0.3">
      <c r="B15" s="12" t="s">
        <v>162</v>
      </c>
      <c r="C15" s="18">
        <v>20025</v>
      </c>
      <c r="D15" s="18">
        <v>113663</v>
      </c>
      <c r="E15" s="18">
        <v>72142</v>
      </c>
      <c r="F15" s="18">
        <v>135481</v>
      </c>
    </row>
    <row r="16" spans="2:22" ht="16.05" customHeight="1" x14ac:dyDescent="0.3">
      <c r="B16" s="13" t="s">
        <v>163</v>
      </c>
      <c r="C16" s="20">
        <v>14478</v>
      </c>
      <c r="D16" s="20">
        <v>100227</v>
      </c>
      <c r="E16" s="20">
        <v>69099</v>
      </c>
      <c r="F16" s="20">
        <v>151333</v>
      </c>
    </row>
    <row r="17" spans="2:6" ht="16.05" customHeight="1" x14ac:dyDescent="0.3">
      <c r="B17" s="12" t="s">
        <v>164</v>
      </c>
      <c r="C17" s="18">
        <v>12339</v>
      </c>
      <c r="D17" s="18">
        <v>119082</v>
      </c>
      <c r="E17" s="18">
        <v>123540</v>
      </c>
      <c r="F17" s="18">
        <v>341052</v>
      </c>
    </row>
    <row r="18" spans="2:6" ht="16.05" customHeight="1" x14ac:dyDescent="0.3">
      <c r="B18" s="13" t="s">
        <v>165</v>
      </c>
      <c r="C18" s="20">
        <v>11715</v>
      </c>
      <c r="D18" s="20">
        <v>105322</v>
      </c>
      <c r="E18" s="20">
        <v>85686</v>
      </c>
      <c r="F18" s="20">
        <v>110943</v>
      </c>
    </row>
    <row r="19" spans="2:6" ht="16.05" customHeight="1" x14ac:dyDescent="0.3">
      <c r="B19" s="12" t="s">
        <v>166</v>
      </c>
      <c r="C19" s="18">
        <v>14096</v>
      </c>
      <c r="D19" s="18">
        <v>131900</v>
      </c>
      <c r="E19" s="18">
        <v>98803</v>
      </c>
      <c r="F19" s="18">
        <v>102425</v>
      </c>
    </row>
    <row r="20" spans="2:6" ht="16.05" customHeight="1" x14ac:dyDescent="0.3">
      <c r="B20" s="13" t="s">
        <v>167</v>
      </c>
      <c r="C20" s="20">
        <v>13933</v>
      </c>
      <c r="D20" s="20">
        <v>116221</v>
      </c>
      <c r="E20" s="20">
        <v>92947</v>
      </c>
      <c r="F20" s="20">
        <v>95026</v>
      </c>
    </row>
    <row r="21" spans="2:6" ht="16.05" customHeight="1" x14ac:dyDescent="0.3">
      <c r="B21" s="12" t="s">
        <v>168</v>
      </c>
      <c r="C21" s="18">
        <v>15674</v>
      </c>
      <c r="D21" s="18">
        <v>157919</v>
      </c>
      <c r="E21" s="18">
        <v>130123</v>
      </c>
      <c r="F21" s="18">
        <v>107067</v>
      </c>
    </row>
    <row r="22" spans="2:6" ht="16.05" customHeight="1" x14ac:dyDescent="0.3">
      <c r="B22" s="13" t="s">
        <v>169</v>
      </c>
      <c r="C22" s="20">
        <v>17909</v>
      </c>
      <c r="D22" s="20">
        <v>212837</v>
      </c>
      <c r="E22" s="20">
        <v>181714</v>
      </c>
      <c r="F22" s="20">
        <v>225683</v>
      </c>
    </row>
    <row r="23" spans="2:6" ht="16.05" customHeight="1" x14ac:dyDescent="0.3">
      <c r="B23" s="12" t="s">
        <v>170</v>
      </c>
      <c r="C23" s="18">
        <v>10814</v>
      </c>
      <c r="D23" s="18">
        <v>130453</v>
      </c>
      <c r="E23" s="18">
        <v>97205</v>
      </c>
      <c r="F23" s="18">
        <v>111277</v>
      </c>
    </row>
    <row r="24" spans="2:6" ht="16.05" customHeight="1" x14ac:dyDescent="0.3">
      <c r="B24" s="13" t="s">
        <v>171</v>
      </c>
      <c r="C24" s="20">
        <v>8178</v>
      </c>
      <c r="D24" s="20">
        <v>60774</v>
      </c>
      <c r="E24" s="20">
        <v>54753</v>
      </c>
      <c r="F24" s="20">
        <v>58162</v>
      </c>
    </row>
    <row r="25" spans="2:6" ht="16.05" customHeight="1" x14ac:dyDescent="0.3">
      <c r="B25" s="12" t="s">
        <v>172</v>
      </c>
      <c r="C25" s="18">
        <v>3953</v>
      </c>
      <c r="D25" s="18">
        <v>41998</v>
      </c>
      <c r="E25" s="18">
        <v>50848</v>
      </c>
      <c r="F25" s="18">
        <v>31118</v>
      </c>
    </row>
    <row r="26" spans="2:6" ht="16.05" customHeight="1" x14ac:dyDescent="0.3">
      <c r="B26" s="13" t="s">
        <v>173</v>
      </c>
      <c r="C26" s="20">
        <v>4581</v>
      </c>
      <c r="D26" s="20">
        <v>27155</v>
      </c>
      <c r="E26" s="20">
        <v>27630</v>
      </c>
      <c r="F26" s="20">
        <v>17632</v>
      </c>
    </row>
    <row r="27" spans="2:6" ht="16.05" customHeight="1" x14ac:dyDescent="0.3">
      <c r="B27" s="12" t="s">
        <v>174</v>
      </c>
      <c r="C27" s="18">
        <v>4130</v>
      </c>
      <c r="D27" s="18">
        <v>19844</v>
      </c>
      <c r="E27" s="18">
        <v>22793</v>
      </c>
      <c r="F27" s="18">
        <v>16028</v>
      </c>
    </row>
    <row r="28" spans="2:6" ht="16.05" customHeight="1" x14ac:dyDescent="0.3">
      <c r="B28" s="13" t="s">
        <v>175</v>
      </c>
      <c r="C28" s="20">
        <v>1803</v>
      </c>
      <c r="D28" s="20">
        <v>2100</v>
      </c>
      <c r="E28" s="20">
        <v>12888</v>
      </c>
      <c r="F28" s="20">
        <v>6287</v>
      </c>
    </row>
    <row r="29" spans="2:6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12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176</v>
      </c>
      <c r="C4" s="11" t="s">
        <v>177</v>
      </c>
    </row>
    <row r="5" spans="2:22" ht="16.95" customHeight="1" x14ac:dyDescent="0.3">
      <c r="B5" s="12" t="s">
        <v>178</v>
      </c>
      <c r="C5" s="18">
        <v>27.37</v>
      </c>
    </row>
    <row r="6" spans="2:22" ht="16.95" customHeight="1" x14ac:dyDescent="0.3">
      <c r="B6" s="13" t="s">
        <v>179</v>
      </c>
      <c r="C6" s="20">
        <v>28.78</v>
      </c>
    </row>
    <row r="7" spans="2:22" ht="16.95" customHeight="1" x14ac:dyDescent="0.3">
      <c r="B7" s="12" t="s">
        <v>180</v>
      </c>
      <c r="C7" s="18">
        <v>13.51</v>
      </c>
    </row>
    <row r="8" spans="2:22" ht="16.95" customHeight="1" x14ac:dyDescent="0.3">
      <c r="B8" s="13" t="s">
        <v>181</v>
      </c>
      <c r="C8" s="20">
        <v>14.79</v>
      </c>
    </row>
    <row r="9" spans="2:22" ht="16.95" customHeight="1" x14ac:dyDescent="0.3">
      <c r="B9" s="12" t="s">
        <v>182</v>
      </c>
      <c r="C9" s="18">
        <v>10.45</v>
      </c>
    </row>
    <row r="10" spans="2:22" ht="16.95" customHeight="1" x14ac:dyDescent="0.3">
      <c r="B10" s="13" t="s">
        <v>183</v>
      </c>
      <c r="C10" s="20">
        <v>3.15</v>
      </c>
    </row>
    <row r="11" spans="2:22" ht="16.95" customHeight="1" x14ac:dyDescent="0.3">
      <c r="B11" s="12" t="s">
        <v>184</v>
      </c>
      <c r="C11" s="18">
        <v>1.95</v>
      </c>
    </row>
    <row r="12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V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185</v>
      </c>
      <c r="C4" s="11" t="s">
        <v>177</v>
      </c>
    </row>
    <row r="5" spans="2:22" ht="16.95" customHeight="1" x14ac:dyDescent="0.3">
      <c r="B5" s="12" t="s">
        <v>186</v>
      </c>
      <c r="C5" s="18">
        <v>9.1999999999999993</v>
      </c>
    </row>
    <row r="6" spans="2:22" ht="16.95" customHeight="1" x14ac:dyDescent="0.3">
      <c r="B6" s="13" t="s">
        <v>187</v>
      </c>
      <c r="C6" s="20">
        <v>66.92</v>
      </c>
    </row>
    <row r="7" spans="2:22" ht="16.95" customHeight="1" x14ac:dyDescent="0.3">
      <c r="B7" s="12" t="s">
        <v>188</v>
      </c>
      <c r="C7" s="18">
        <v>5.21</v>
      </c>
    </row>
    <row r="8" spans="2:22" ht="16.95" customHeight="1" x14ac:dyDescent="0.3">
      <c r="B8" s="13" t="s">
        <v>189</v>
      </c>
      <c r="C8" s="20">
        <v>18.670000000000002</v>
      </c>
    </row>
    <row r="9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190</v>
      </c>
      <c r="C4" s="11" t="s">
        <v>177</v>
      </c>
    </row>
    <row r="5" spans="2:22" ht="16.95" customHeight="1" x14ac:dyDescent="0.3">
      <c r="B5" s="12" t="s">
        <v>191</v>
      </c>
      <c r="C5" s="18">
        <v>13.38</v>
      </c>
    </row>
    <row r="6" spans="2:22" ht="16.95" customHeight="1" x14ac:dyDescent="0.3">
      <c r="B6" s="13" t="s">
        <v>192</v>
      </c>
      <c r="C6" s="20">
        <v>39.89</v>
      </c>
    </row>
    <row r="7" spans="2:22" ht="16.95" customHeight="1" x14ac:dyDescent="0.3">
      <c r="B7" s="12" t="s">
        <v>193</v>
      </c>
      <c r="C7" s="18">
        <v>29.44</v>
      </c>
    </row>
    <row r="8" spans="2:22" ht="16.95" customHeight="1" x14ac:dyDescent="0.3">
      <c r="B8" s="13" t="s">
        <v>194</v>
      </c>
      <c r="C8" s="20">
        <v>5.87</v>
      </c>
    </row>
    <row r="9" spans="2:22" ht="16.95" customHeight="1" x14ac:dyDescent="0.3">
      <c r="B9" s="12" t="s">
        <v>195</v>
      </c>
      <c r="C9" s="18">
        <v>7.02</v>
      </c>
    </row>
    <row r="10" spans="2:22" ht="16.95" customHeight="1" x14ac:dyDescent="0.3">
      <c r="B10" s="13" t="s">
        <v>196</v>
      </c>
      <c r="C10" s="20">
        <v>4.4000000000000004</v>
      </c>
    </row>
    <row r="11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197</v>
      </c>
      <c r="C4" s="11" t="s">
        <v>198</v>
      </c>
    </row>
    <row r="5" spans="2:22" ht="16.95" customHeight="1" x14ac:dyDescent="0.3">
      <c r="B5" s="12" t="s">
        <v>199</v>
      </c>
      <c r="C5" s="18">
        <v>56.58</v>
      </c>
    </row>
    <row r="6" spans="2:22" ht="16.95" customHeight="1" x14ac:dyDescent="0.3">
      <c r="B6" s="13" t="s">
        <v>200</v>
      </c>
      <c r="C6" s="20">
        <v>39.03</v>
      </c>
    </row>
    <row r="7" spans="2:22" ht="16.95" customHeight="1" x14ac:dyDescent="0.3">
      <c r="B7" s="12" t="s">
        <v>201</v>
      </c>
      <c r="C7" s="18">
        <v>38.869999999999997</v>
      </c>
    </row>
    <row r="8" spans="2:22" ht="16.95" customHeight="1" x14ac:dyDescent="0.3">
      <c r="B8" s="13" t="s">
        <v>202</v>
      </c>
      <c r="C8" s="20">
        <v>22.1</v>
      </c>
    </row>
    <row r="9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V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197</v>
      </c>
      <c r="C4" s="11" t="s">
        <v>177</v>
      </c>
    </row>
    <row r="5" spans="2:22" ht="16.95" customHeight="1" x14ac:dyDescent="0.3">
      <c r="B5" s="12" t="s">
        <v>203</v>
      </c>
      <c r="C5" s="18">
        <v>32.68</v>
      </c>
    </row>
    <row r="6" spans="2:22" ht="16.95" customHeight="1" x14ac:dyDescent="0.3">
      <c r="B6" s="13" t="s">
        <v>204</v>
      </c>
      <c r="C6" s="20">
        <v>16.440000000000001</v>
      </c>
    </row>
    <row r="7" spans="2:22" ht="16.95" customHeight="1" x14ac:dyDescent="0.3">
      <c r="B7" s="12" t="s">
        <v>205</v>
      </c>
      <c r="C7" s="18">
        <v>14.94</v>
      </c>
    </row>
    <row r="8" spans="2:22" ht="16.95" customHeight="1" x14ac:dyDescent="0.3">
      <c r="B8" s="13" t="s">
        <v>206</v>
      </c>
      <c r="C8" s="20">
        <v>14.57</v>
      </c>
    </row>
    <row r="9" spans="2:22" ht="16.95" customHeight="1" x14ac:dyDescent="0.3">
      <c r="B9" s="12" t="s">
        <v>207</v>
      </c>
      <c r="C9" s="18">
        <v>11.7</v>
      </c>
    </row>
    <row r="10" spans="2:22" ht="16.95" customHeight="1" x14ac:dyDescent="0.3">
      <c r="B10" s="13" t="s">
        <v>208</v>
      </c>
      <c r="C10" s="20">
        <v>2.4700000000000002</v>
      </c>
    </row>
    <row r="11" spans="2:22" ht="16.95" customHeight="1" x14ac:dyDescent="0.3">
      <c r="B11" s="12" t="s">
        <v>209</v>
      </c>
      <c r="C11" s="18">
        <v>0.86</v>
      </c>
    </row>
    <row r="12" spans="2:22" ht="16.95" customHeight="1" x14ac:dyDescent="0.3">
      <c r="B12" s="13" t="s">
        <v>210</v>
      </c>
      <c r="C12" s="20">
        <v>6.33</v>
      </c>
    </row>
    <row r="13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V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211</v>
      </c>
      <c r="C4" s="11" t="s">
        <v>177</v>
      </c>
    </row>
    <row r="5" spans="2:22" ht="16.95" customHeight="1" x14ac:dyDescent="0.3">
      <c r="B5" s="12" t="s">
        <v>212</v>
      </c>
      <c r="C5" s="18">
        <v>21.98</v>
      </c>
    </row>
    <row r="6" spans="2:22" ht="16.95" customHeight="1" x14ac:dyDescent="0.3">
      <c r="B6" s="13" t="s">
        <v>213</v>
      </c>
      <c r="C6" s="20">
        <v>10.23</v>
      </c>
    </row>
    <row r="7" spans="2:22" ht="16.95" customHeight="1" x14ac:dyDescent="0.3">
      <c r="B7" s="12" t="s">
        <v>214</v>
      </c>
      <c r="C7" s="18">
        <v>47.16</v>
      </c>
    </row>
    <row r="8" spans="2:22" ht="16.95" customHeight="1" x14ac:dyDescent="0.3">
      <c r="B8" s="13" t="s">
        <v>215</v>
      </c>
      <c r="C8" s="20">
        <v>7.09</v>
      </c>
    </row>
    <row r="9" spans="2:22" ht="16.95" customHeight="1" x14ac:dyDescent="0.3">
      <c r="B9" s="12" t="s">
        <v>216</v>
      </c>
      <c r="C9" s="18">
        <v>13.54</v>
      </c>
    </row>
    <row r="10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V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217</v>
      </c>
      <c r="C4" s="11" t="s">
        <v>177</v>
      </c>
    </row>
    <row r="5" spans="2:22" ht="16.95" customHeight="1" x14ac:dyDescent="0.3">
      <c r="B5" s="12" t="s">
        <v>218</v>
      </c>
      <c r="C5" s="18">
        <v>69.66</v>
      </c>
    </row>
    <row r="6" spans="2:22" ht="16.95" customHeight="1" x14ac:dyDescent="0.3">
      <c r="B6" s="13" t="s">
        <v>219</v>
      </c>
      <c r="C6" s="20">
        <v>18.05</v>
      </c>
    </row>
    <row r="7" spans="2:22" ht="16.95" customHeight="1" x14ac:dyDescent="0.3">
      <c r="B7" s="12" t="s">
        <v>220</v>
      </c>
      <c r="C7" s="18">
        <v>8.7899999999999991</v>
      </c>
    </row>
    <row r="8" spans="2:22" ht="16.95" customHeight="1" x14ac:dyDescent="0.3">
      <c r="B8" s="13" t="s">
        <v>221</v>
      </c>
      <c r="C8" s="20">
        <v>3.49</v>
      </c>
    </row>
    <row r="9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V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29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222</v>
      </c>
      <c r="C4" s="11" t="s">
        <v>223</v>
      </c>
    </row>
    <row r="5" spans="2:22" ht="16.95" customHeight="1" x14ac:dyDescent="0.3">
      <c r="B5" s="12" t="s">
        <v>224</v>
      </c>
      <c r="C5" s="18">
        <v>57.06</v>
      </c>
    </row>
    <row r="6" spans="2:22" ht="16.95" customHeight="1" x14ac:dyDescent="0.3">
      <c r="B6" s="13" t="s">
        <v>225</v>
      </c>
      <c r="C6" s="20">
        <v>63.14</v>
      </c>
    </row>
    <row r="7" spans="2:22" ht="16.95" customHeight="1" x14ac:dyDescent="0.3">
      <c r="B7" s="12" t="s">
        <v>226</v>
      </c>
      <c r="C7" s="18">
        <v>68.290000000000006</v>
      </c>
    </row>
    <row r="8" spans="2:22" ht="16.95" customHeight="1" x14ac:dyDescent="0.3">
      <c r="B8" s="13" t="s">
        <v>227</v>
      </c>
      <c r="C8" s="20">
        <v>32.549999999999997</v>
      </c>
    </row>
    <row r="9" spans="2:22" ht="16.95" customHeight="1" x14ac:dyDescent="0.3">
      <c r="B9" s="12" t="s">
        <v>228</v>
      </c>
      <c r="C9" s="18">
        <v>70.069999999999993</v>
      </c>
    </row>
    <row r="10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V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229</v>
      </c>
      <c r="C4" s="11" t="s">
        <v>230</v>
      </c>
    </row>
    <row r="5" spans="2:22" ht="16.95" customHeight="1" x14ac:dyDescent="0.3">
      <c r="B5" s="12" t="s">
        <v>207</v>
      </c>
      <c r="C5" s="18">
        <v>31.28</v>
      </c>
    </row>
    <row r="6" spans="2:22" ht="16.95" customHeight="1" x14ac:dyDescent="0.3">
      <c r="B6" s="13" t="s">
        <v>231</v>
      </c>
      <c r="C6" s="20">
        <v>2.9</v>
      </c>
    </row>
    <row r="7" spans="2:22" ht="16.95" customHeight="1" x14ac:dyDescent="0.3">
      <c r="B7" s="12" t="s">
        <v>206</v>
      </c>
      <c r="C7" s="18">
        <v>59.94</v>
      </c>
    </row>
    <row r="8" spans="2:22" ht="16.95" customHeight="1" x14ac:dyDescent="0.3">
      <c r="B8" s="13" t="s">
        <v>209</v>
      </c>
      <c r="C8" s="20">
        <v>5.2</v>
      </c>
    </row>
    <row r="9" spans="2:22" ht="16.95" customHeight="1" x14ac:dyDescent="0.3">
      <c r="B9" s="12" t="s">
        <v>216</v>
      </c>
      <c r="C9" s="18">
        <v>0.69</v>
      </c>
    </row>
    <row r="10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V8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232</v>
      </c>
      <c r="C4" s="11" t="s">
        <v>233</v>
      </c>
    </row>
    <row r="5" spans="2:22" ht="16.95" customHeight="1" x14ac:dyDescent="0.3">
      <c r="B5" s="12" t="s">
        <v>234</v>
      </c>
      <c r="C5" s="18">
        <v>60.11</v>
      </c>
    </row>
    <row r="6" spans="2:22" ht="16.95" customHeight="1" x14ac:dyDescent="0.3">
      <c r="B6" s="13" t="s">
        <v>235</v>
      </c>
      <c r="C6" s="20">
        <v>31.97</v>
      </c>
    </row>
    <row r="7" spans="2:22" ht="16.95" customHeight="1" x14ac:dyDescent="0.3">
      <c r="B7" s="12" t="s">
        <v>236</v>
      </c>
      <c r="C7" s="18">
        <v>7.92</v>
      </c>
    </row>
    <row r="8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V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237</v>
      </c>
      <c r="C4" s="11" t="s">
        <v>230</v>
      </c>
    </row>
    <row r="5" spans="2:22" ht="16.95" customHeight="1" x14ac:dyDescent="0.3">
      <c r="B5" s="12" t="s">
        <v>238</v>
      </c>
      <c r="C5" s="18">
        <v>22.05</v>
      </c>
    </row>
    <row r="6" spans="2:22" ht="16.95" customHeight="1" x14ac:dyDescent="0.3">
      <c r="B6" s="13" t="s">
        <v>239</v>
      </c>
      <c r="C6" s="20">
        <v>18.98</v>
      </c>
    </row>
    <row r="7" spans="2:22" ht="16.95" customHeight="1" x14ac:dyDescent="0.3">
      <c r="B7" s="12" t="s">
        <v>240</v>
      </c>
      <c r="C7" s="18">
        <v>7.43</v>
      </c>
    </row>
    <row r="8" spans="2:22" ht="16.95" customHeight="1" x14ac:dyDescent="0.3">
      <c r="B8" s="13" t="s">
        <v>241</v>
      </c>
      <c r="C8" s="20">
        <v>5.26</v>
      </c>
    </row>
    <row r="9" spans="2:22" ht="16.95" customHeight="1" x14ac:dyDescent="0.3">
      <c r="B9" s="12" t="s">
        <v>242</v>
      </c>
      <c r="C9" s="18">
        <v>46.28</v>
      </c>
    </row>
    <row r="10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V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190</v>
      </c>
      <c r="C4" s="11" t="s">
        <v>230</v>
      </c>
    </row>
    <row r="5" spans="2:22" ht="16.95" customHeight="1" x14ac:dyDescent="0.3">
      <c r="B5" s="12" t="s">
        <v>191</v>
      </c>
      <c r="C5" s="18">
        <v>8.8699999999999992</v>
      </c>
    </row>
    <row r="6" spans="2:22" ht="16.95" customHeight="1" x14ac:dyDescent="0.3">
      <c r="B6" s="13" t="s">
        <v>192</v>
      </c>
      <c r="C6" s="20">
        <v>37.33</v>
      </c>
    </row>
    <row r="7" spans="2:22" ht="16.95" customHeight="1" x14ac:dyDescent="0.3">
      <c r="B7" s="12" t="s">
        <v>193</v>
      </c>
      <c r="C7" s="18">
        <v>32.369999999999997</v>
      </c>
    </row>
    <row r="8" spans="2:22" ht="16.95" customHeight="1" x14ac:dyDescent="0.3">
      <c r="B8" s="13" t="s">
        <v>194</v>
      </c>
      <c r="C8" s="20">
        <v>6.85</v>
      </c>
    </row>
    <row r="9" spans="2:22" ht="16.95" customHeight="1" x14ac:dyDescent="0.3">
      <c r="B9" s="12" t="s">
        <v>195</v>
      </c>
      <c r="C9" s="18">
        <v>9.33</v>
      </c>
    </row>
    <row r="10" spans="2:22" ht="16.95" customHeight="1" x14ac:dyDescent="0.3">
      <c r="B10" s="13" t="s">
        <v>196</v>
      </c>
      <c r="C10" s="20">
        <v>5.25</v>
      </c>
    </row>
    <row r="11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V12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243</v>
      </c>
      <c r="C4" s="11" t="s">
        <v>244</v>
      </c>
    </row>
    <row r="5" spans="2:22" ht="16.95" customHeight="1" x14ac:dyDescent="0.3">
      <c r="B5" s="12" t="s">
        <v>245</v>
      </c>
      <c r="C5" s="18">
        <v>7.12</v>
      </c>
    </row>
    <row r="6" spans="2:22" ht="16.95" customHeight="1" x14ac:dyDescent="0.3">
      <c r="B6" s="13" t="s">
        <v>246</v>
      </c>
      <c r="C6" s="20">
        <v>7.49</v>
      </c>
    </row>
    <row r="7" spans="2:22" ht="16.95" customHeight="1" x14ac:dyDescent="0.3">
      <c r="B7" s="12" t="s">
        <v>247</v>
      </c>
      <c r="C7" s="18">
        <v>11.78</v>
      </c>
    </row>
    <row r="8" spans="2:22" ht="16.95" customHeight="1" x14ac:dyDescent="0.3">
      <c r="B8" s="13" t="s">
        <v>248</v>
      </c>
      <c r="C8" s="20">
        <v>16.89</v>
      </c>
    </row>
    <row r="9" spans="2:22" ht="16.95" customHeight="1" x14ac:dyDescent="0.3">
      <c r="B9" s="12" t="s">
        <v>249</v>
      </c>
      <c r="C9" s="18">
        <v>14.58</v>
      </c>
    </row>
    <row r="10" spans="2:22" ht="16.95" customHeight="1" x14ac:dyDescent="0.3">
      <c r="B10" s="13" t="s">
        <v>181</v>
      </c>
      <c r="C10" s="20">
        <v>18.690000000000001</v>
      </c>
    </row>
    <row r="11" spans="2:22" ht="16.95" customHeight="1" x14ac:dyDescent="0.3">
      <c r="B11" s="12" t="s">
        <v>250</v>
      </c>
      <c r="C11" s="18">
        <v>23.46</v>
      </c>
    </row>
    <row r="12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V7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251</v>
      </c>
      <c r="C4" s="11" t="s">
        <v>244</v>
      </c>
    </row>
    <row r="5" spans="2:22" ht="16.95" customHeight="1" x14ac:dyDescent="0.3">
      <c r="B5" s="12" t="s">
        <v>252</v>
      </c>
      <c r="C5" s="18">
        <v>46.98</v>
      </c>
    </row>
    <row r="6" spans="2:22" ht="16.95" customHeight="1" x14ac:dyDescent="0.3">
      <c r="B6" s="13" t="s">
        <v>253</v>
      </c>
      <c r="C6" s="20">
        <v>53.02</v>
      </c>
    </row>
    <row r="7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V11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254</v>
      </c>
      <c r="C4" s="11" t="s">
        <v>244</v>
      </c>
    </row>
    <row r="5" spans="2:22" ht="16.95" customHeight="1" x14ac:dyDescent="0.3">
      <c r="B5" s="12" t="s">
        <v>255</v>
      </c>
      <c r="C5" s="18">
        <v>44.16</v>
      </c>
    </row>
    <row r="6" spans="2:22" ht="16.95" customHeight="1" x14ac:dyDescent="0.3">
      <c r="B6" s="13" t="s">
        <v>256</v>
      </c>
      <c r="C6" s="20">
        <v>18.170000000000002</v>
      </c>
    </row>
    <row r="7" spans="2:22" ht="16.95" customHeight="1" x14ac:dyDescent="0.3">
      <c r="B7" s="12" t="s">
        <v>257</v>
      </c>
      <c r="C7" s="18">
        <v>17.059999999999999</v>
      </c>
    </row>
    <row r="8" spans="2:22" ht="16.95" customHeight="1" x14ac:dyDescent="0.3">
      <c r="B8" s="13" t="s">
        <v>258</v>
      </c>
      <c r="C8" s="20">
        <v>4.91</v>
      </c>
    </row>
    <row r="9" spans="2:22" ht="16.95" customHeight="1" x14ac:dyDescent="0.3">
      <c r="B9" s="12" t="s">
        <v>259</v>
      </c>
      <c r="C9" s="18">
        <v>9.65</v>
      </c>
    </row>
    <row r="10" spans="2:22" ht="16.95" customHeight="1" x14ac:dyDescent="0.3">
      <c r="B10" s="13" t="s">
        <v>228</v>
      </c>
      <c r="C10" s="20">
        <v>6.05</v>
      </c>
    </row>
    <row r="11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V14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3" width="40" customWidth="1"/>
    <col min="4" max="5" width="20" customWidth="1"/>
    <col min="6" max="20" width="18" customWidth="1"/>
  </cols>
  <sheetData>
    <row r="1" spans="2:22" ht="28.05" customHeight="1" x14ac:dyDescent="0.3">
      <c r="B1" s="29" t="s">
        <v>37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2:22" ht="7.9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6" customHeight="1" x14ac:dyDescent="0.3"/>
    <row r="4" spans="2:22" ht="19.95" customHeight="1" x14ac:dyDescent="0.3">
      <c r="B4" s="14" t="s">
        <v>260</v>
      </c>
      <c r="C4" s="11" t="s">
        <v>244</v>
      </c>
    </row>
    <row r="5" spans="2:22" ht="16.95" customHeight="1" x14ac:dyDescent="0.3">
      <c r="B5" s="12" t="s">
        <v>261</v>
      </c>
      <c r="C5" s="18">
        <v>23.87</v>
      </c>
    </row>
    <row r="6" spans="2:22" ht="16.95" customHeight="1" x14ac:dyDescent="0.3">
      <c r="B6" s="13" t="s">
        <v>262</v>
      </c>
      <c r="C6" s="20">
        <v>4.9400000000000004</v>
      </c>
    </row>
    <row r="7" spans="2:22" ht="16.95" customHeight="1" x14ac:dyDescent="0.3">
      <c r="B7" s="12" t="s">
        <v>263</v>
      </c>
      <c r="C7" s="18">
        <v>35.630000000000003</v>
      </c>
    </row>
    <row r="8" spans="2:22" ht="16.95" customHeight="1" x14ac:dyDescent="0.3">
      <c r="B8" s="13" t="s">
        <v>264</v>
      </c>
      <c r="C8" s="20">
        <v>0.11</v>
      </c>
    </row>
    <row r="9" spans="2:22" ht="16.95" customHeight="1" x14ac:dyDescent="0.3">
      <c r="B9" s="12" t="s">
        <v>265</v>
      </c>
      <c r="C9" s="18">
        <v>7.58</v>
      </c>
    </row>
    <row r="10" spans="2:22" ht="16.95" customHeight="1" x14ac:dyDescent="0.3">
      <c r="B10" s="13" t="s">
        <v>266</v>
      </c>
      <c r="C10" s="20">
        <v>4.8600000000000003</v>
      </c>
    </row>
    <row r="11" spans="2:22" ht="16.95" customHeight="1" x14ac:dyDescent="0.3">
      <c r="B11" s="12" t="s">
        <v>267</v>
      </c>
      <c r="C11" s="18">
        <v>11.52</v>
      </c>
    </row>
    <row r="12" spans="2:22" ht="16.95" customHeight="1" x14ac:dyDescent="0.3">
      <c r="B12" s="13" t="s">
        <v>268</v>
      </c>
      <c r="C12" s="20">
        <v>1.5</v>
      </c>
    </row>
    <row r="13" spans="2:22" ht="16.95" customHeight="1" x14ac:dyDescent="0.3">
      <c r="B13" s="12" t="s">
        <v>269</v>
      </c>
      <c r="C13" s="18">
        <v>9.99</v>
      </c>
    </row>
    <row r="14" spans="2:22" ht="7.95" customHeight="1" x14ac:dyDescent="0.3"/>
  </sheetData>
  <mergeCells count="1">
    <mergeCell ref="B1:V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Portada</vt:lpstr>
      <vt:lpstr>Filtros Aplicados</vt:lpstr>
      <vt:lpstr>KPIs Generales</vt:lpstr>
      <vt:lpstr>KPIs Motorización</vt:lpstr>
      <vt:lpstr>Macrozonas OD</vt:lpstr>
      <vt:lpstr>Distribución Horaria</vt:lpstr>
      <vt:lpstr>Duración de Viajes</vt:lpstr>
      <vt:lpstr>Frecuencia de Viajes</vt:lpstr>
      <vt:lpstr>Viajes por Estrato</vt:lpstr>
      <vt:lpstr>Tiempo por Modo</vt:lpstr>
      <vt:lpstr>Modo Principal</vt:lpstr>
      <vt:lpstr>Motivo de Viaje</vt:lpstr>
      <vt:lpstr>Etapas del Viaje</vt:lpstr>
      <vt:lpstr>Grupos Poblacionales</vt:lpstr>
      <vt:lpstr>Tipología Vehicular</vt:lpstr>
      <vt:lpstr>Cantidad Vehículos</vt:lpstr>
      <vt:lpstr>Modelo Vehicular</vt:lpstr>
      <vt:lpstr>Vehículos por Estrato</vt:lpstr>
      <vt:lpstr>Socio Edad</vt:lpstr>
      <vt:lpstr>Socio Género</vt:lpstr>
      <vt:lpstr>Socio Ocupación</vt:lpstr>
      <vt:lpstr>Socio Escolaridad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2026-05-15T02:51:40Z</dcterms:created>
  <dcterms:modified xsi:type="dcterms:W3CDTF">2026-05-18T00:43:30Z</dcterms:modified>
  <cp:category/>
</cp:coreProperties>
</file>